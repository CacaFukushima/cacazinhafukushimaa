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ca\Downloads\"/>
    </mc:Choice>
  </mc:AlternateContent>
  <xr:revisionPtr revIDLastSave="0" documentId="13_ncr:1_{3CE262C6-9CB1-41FC-AF52-FD9258DF5C48}" xr6:coauthVersionLast="47" xr6:coauthVersionMax="47" xr10:uidLastSave="{00000000-0000-0000-0000-000000000000}"/>
  <bookViews>
    <workbookView xWindow="-110" yWindow="-110" windowWidth="19420" windowHeight="10420" tabRatio="717" activeTab="2" xr2:uid="{BBDFDA9F-B308-46BA-990B-95E2222DDB26}"/>
  </bookViews>
  <sheets>
    <sheet name="Matriz de Manufatura" sheetId="9" r:id="rId1"/>
    <sheet name="Planilha de Dados" sheetId="2" r:id="rId2"/>
    <sheet name="Decision Matrix" sheetId="1" r:id="rId3"/>
    <sheet name="Cost metais" sheetId="21" r:id="rId4"/>
    <sheet name="Compositos simulaçao" sheetId="19" r:id="rId5"/>
    <sheet name="monocoque aluminio simulaçao" sheetId="2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9" l="1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4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R7" i="9"/>
  <c r="R3" i="9"/>
  <c r="G23" i="9"/>
  <c r="G24" i="9"/>
  <c r="G25" i="9"/>
  <c r="G26" i="9"/>
  <c r="G27" i="9"/>
  <c r="G28" i="9"/>
  <c r="G29" i="9"/>
  <c r="G22" i="9"/>
  <c r="V11" i="9" l="1"/>
  <c r="R11" i="9"/>
  <c r="H3" i="9"/>
  <c r="I21" i="1"/>
  <c r="J21" i="1" s="1"/>
  <c r="I20" i="1"/>
  <c r="J20" i="1" s="1"/>
  <c r="I18" i="1"/>
  <c r="J18" i="1" s="1"/>
  <c r="I16" i="1"/>
  <c r="J16" i="1" s="1"/>
  <c r="E4" i="9"/>
  <c r="E22" i="9"/>
  <c r="E21" i="2"/>
  <c r="N10" i="22"/>
  <c r="M10" i="19"/>
  <c r="L10" i="19"/>
  <c r="E10" i="19" s="1"/>
  <c r="D10" i="19"/>
  <c r="N10" i="19" s="1"/>
  <c r="C10" i="19"/>
  <c r="E10" i="22"/>
  <c r="I34" i="22"/>
  <c r="L21" i="22"/>
  <c r="I23" i="22"/>
  <c r="I22" i="22"/>
  <c r="I21" i="22"/>
  <c r="I20" i="22"/>
  <c r="I19" i="22"/>
  <c r="I18" i="22"/>
  <c r="I17" i="22" l="1"/>
  <c r="E13" i="22"/>
  <c r="N13" i="22" s="1"/>
  <c r="E12" i="22"/>
  <c r="N12" i="22" s="1"/>
  <c r="E11" i="22"/>
  <c r="I35" i="22"/>
  <c r="J33" i="22" s="1"/>
  <c r="J29" i="22"/>
  <c r="K29" i="22" s="1"/>
  <c r="I24" i="22"/>
  <c r="K24" i="19"/>
  <c r="E20" i="2"/>
  <c r="E19" i="2"/>
  <c r="E17" i="2"/>
  <c r="E16" i="2"/>
  <c r="E14" i="2"/>
  <c r="E13" i="2"/>
  <c r="E11" i="2"/>
  <c r="E10" i="2"/>
  <c r="E8" i="2"/>
  <c r="E7" i="2"/>
  <c r="E5" i="2"/>
  <c r="E4" i="2"/>
  <c r="D56" i="21"/>
  <c r="D55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10" i="21"/>
  <c r="W21" i="1"/>
  <c r="X21" i="1" s="1"/>
  <c r="W20" i="1"/>
  <c r="X20" i="1" s="1"/>
  <c r="W18" i="1"/>
  <c r="X18" i="1" s="1"/>
  <c r="W16" i="1"/>
  <c r="X16" i="1" s="1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3" i="9"/>
  <c r="E24" i="9"/>
  <c r="E25" i="9"/>
  <c r="E26" i="9"/>
  <c r="E27" i="9"/>
  <c r="E28" i="9"/>
  <c r="E29" i="9"/>
  <c r="J51" i="21"/>
  <c r="J52" i="21"/>
  <c r="J50" i="21"/>
  <c r="J49" i="21"/>
  <c r="J48" i="21"/>
  <c r="J47" i="21"/>
  <c r="J46" i="21"/>
  <c r="J37" i="21"/>
  <c r="J38" i="21"/>
  <c r="J39" i="21"/>
  <c r="J40" i="21"/>
  <c r="J41" i="21"/>
  <c r="J42" i="21"/>
  <c r="J43" i="21"/>
  <c r="J44" i="21"/>
  <c r="J45" i="21"/>
  <c r="J36" i="21"/>
  <c r="J34" i="21"/>
  <c r="J33" i="21"/>
  <c r="J32" i="21"/>
  <c r="J23" i="21"/>
  <c r="J24" i="21"/>
  <c r="J25" i="21"/>
  <c r="J22" i="21"/>
  <c r="J21" i="21"/>
  <c r="J19" i="21"/>
  <c r="J20" i="21"/>
  <c r="J18" i="21"/>
  <c r="J35" i="21"/>
  <c r="J31" i="21"/>
  <c r="J30" i="21"/>
  <c r="J29" i="21"/>
  <c r="J28" i="21"/>
  <c r="J27" i="21"/>
  <c r="J26" i="21"/>
  <c r="J17" i="21"/>
  <c r="J10" i="21"/>
  <c r="J16" i="21"/>
  <c r="J12" i="21"/>
  <c r="J13" i="21"/>
  <c r="J14" i="21"/>
  <c r="J15" i="21"/>
  <c r="J11" i="21"/>
  <c r="G5" i="21"/>
  <c r="L56" i="21"/>
  <c r="L55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10" i="21"/>
  <c r="G3" i="21"/>
  <c r="F22" i="9" l="1"/>
  <c r="L10" i="9" s="1"/>
  <c r="F26" i="22"/>
  <c r="I26" i="22" s="1"/>
  <c r="F25" i="22"/>
  <c r="I25" i="22" s="1"/>
  <c r="N11" i="22"/>
  <c r="F12" i="9"/>
  <c r="F24" i="9"/>
  <c r="F11" i="9"/>
  <c r="F21" i="9"/>
  <c r="F9" i="9"/>
  <c r="F20" i="9"/>
  <c r="F8" i="9"/>
  <c r="F19" i="9"/>
  <c r="F7" i="9"/>
  <c r="F10" i="9"/>
  <c r="F6" i="9"/>
  <c r="F4" i="9"/>
  <c r="F17" i="9"/>
  <c r="F5" i="9"/>
  <c r="F29" i="9"/>
  <c r="F16" i="9"/>
  <c r="F28" i="9"/>
  <c r="F15" i="9"/>
  <c r="F18" i="9"/>
  <c r="F14" i="9"/>
  <c r="F23" i="9"/>
  <c r="F27" i="9"/>
  <c r="F26" i="9"/>
  <c r="F13" i="9"/>
  <c r="F25" i="9"/>
  <c r="J53" i="21"/>
  <c r="E13" i="21"/>
  <c r="E15" i="21"/>
  <c r="N15" i="21" s="1"/>
  <c r="E16" i="21"/>
  <c r="E56" i="21"/>
  <c r="N56" i="21" s="1"/>
  <c r="I86" i="21"/>
  <c r="I87" i="21" s="1"/>
  <c r="J83" i="21"/>
  <c r="I78" i="21"/>
  <c r="F78" i="21"/>
  <c r="I77" i="21"/>
  <c r="F77" i="21"/>
  <c r="F76" i="21"/>
  <c r="I76" i="21" s="1"/>
  <c r="I75" i="21"/>
  <c r="F75" i="21"/>
  <c r="F74" i="21"/>
  <c r="I74" i="21" s="1"/>
  <c r="I73" i="21"/>
  <c r="F72" i="21"/>
  <c r="I72" i="21" s="1"/>
  <c r="I71" i="21"/>
  <c r="F71" i="21"/>
  <c r="F70" i="21"/>
  <c r="I70" i="21" s="1"/>
  <c r="I69" i="21"/>
  <c r="F69" i="21"/>
  <c r="I68" i="21"/>
  <c r="F67" i="21"/>
  <c r="I67" i="21" s="1"/>
  <c r="I66" i="21"/>
  <c r="I65" i="21"/>
  <c r="I64" i="21"/>
  <c r="I63" i="21"/>
  <c r="I62" i="21"/>
  <c r="I61" i="21"/>
  <c r="I60" i="21"/>
  <c r="J56" i="21"/>
  <c r="J55" i="21"/>
  <c r="N54" i="21"/>
  <c r="L7" i="9" l="1"/>
  <c r="L8" i="9"/>
  <c r="L9" i="9"/>
  <c r="L17" i="9"/>
  <c r="AD6" i="2" s="1"/>
  <c r="P6" i="2"/>
  <c r="N14" i="22"/>
  <c r="O12" i="22" s="1"/>
  <c r="I27" i="22"/>
  <c r="J25" i="22" s="1"/>
  <c r="E10" i="21"/>
  <c r="E55" i="21"/>
  <c r="N55" i="21" s="1"/>
  <c r="E18" i="21"/>
  <c r="N18" i="21" s="1"/>
  <c r="E11" i="21"/>
  <c r="E22" i="21"/>
  <c r="E20" i="21"/>
  <c r="E14" i="21"/>
  <c r="E19" i="21"/>
  <c r="E12" i="21"/>
  <c r="E25" i="21" s="1"/>
  <c r="N13" i="21"/>
  <c r="N16" i="21"/>
  <c r="I79" i="21"/>
  <c r="N1" i="22" l="1"/>
  <c r="N4" i="22" s="1"/>
  <c r="N12" i="21"/>
  <c r="N10" i="21"/>
  <c r="E17" i="21"/>
  <c r="N17" i="21" s="1"/>
  <c r="E23" i="21"/>
  <c r="E32" i="21"/>
  <c r="E27" i="21"/>
  <c r="N27" i="21" s="1"/>
  <c r="N11" i="21"/>
  <c r="E24" i="21"/>
  <c r="N20" i="21"/>
  <c r="E34" i="21"/>
  <c r="N25" i="21"/>
  <c r="N19" i="21"/>
  <c r="E26" i="21"/>
  <c r="N22" i="21"/>
  <c r="E29" i="21"/>
  <c r="N14" i="21"/>
  <c r="E21" i="21"/>
  <c r="E30" i="21" l="1"/>
  <c r="N23" i="21"/>
  <c r="E33" i="21"/>
  <c r="E28" i="21"/>
  <c r="E31" i="21"/>
  <c r="N24" i="21"/>
  <c r="N26" i="21"/>
  <c r="N32" i="21"/>
  <c r="N21" i="21"/>
  <c r="N34" i="21"/>
  <c r="N29" i="21"/>
  <c r="E37" i="21"/>
  <c r="U21" i="1"/>
  <c r="V21" i="1" s="1"/>
  <c r="U20" i="1"/>
  <c r="V20" i="1" s="1"/>
  <c r="U18" i="1"/>
  <c r="V18" i="1" s="1"/>
  <c r="U16" i="1"/>
  <c r="V16" i="1" s="1"/>
  <c r="S21" i="1"/>
  <c r="T21" i="1" s="1"/>
  <c r="S20" i="1"/>
  <c r="T20" i="1" s="1"/>
  <c r="S18" i="1"/>
  <c r="T18" i="1" s="1"/>
  <c r="S16" i="1"/>
  <c r="T16" i="1" s="1"/>
  <c r="Q21" i="1"/>
  <c r="R21" i="1" s="1"/>
  <c r="Q20" i="1"/>
  <c r="R20" i="1" s="1"/>
  <c r="Q18" i="1"/>
  <c r="R18" i="1" s="1"/>
  <c r="Q16" i="1"/>
  <c r="R16" i="1" s="1"/>
  <c r="O21" i="1"/>
  <c r="P21" i="1" s="1"/>
  <c r="O20" i="1"/>
  <c r="P20" i="1" s="1"/>
  <c r="O18" i="1"/>
  <c r="P18" i="1" s="1"/>
  <c r="O16" i="1"/>
  <c r="P16" i="1" s="1"/>
  <c r="M21" i="1"/>
  <c r="N21" i="1" s="1"/>
  <c r="M20" i="1"/>
  <c r="N20" i="1" s="1"/>
  <c r="M18" i="1"/>
  <c r="N18" i="1" s="1"/>
  <c r="M16" i="1"/>
  <c r="N16" i="1" s="1"/>
  <c r="K21" i="1"/>
  <c r="L21" i="1" s="1"/>
  <c r="K20" i="1"/>
  <c r="L20" i="1" s="1"/>
  <c r="K18" i="1"/>
  <c r="L18" i="1" s="1"/>
  <c r="K16" i="1"/>
  <c r="L16" i="1" s="1"/>
  <c r="G21" i="1"/>
  <c r="H21" i="1" s="1"/>
  <c r="G20" i="1"/>
  <c r="H20" i="1" s="1"/>
  <c r="G18" i="1"/>
  <c r="H18" i="1" s="1"/>
  <c r="G16" i="1"/>
  <c r="H16" i="1" s="1"/>
  <c r="E21" i="1"/>
  <c r="F21" i="1" s="1"/>
  <c r="E20" i="1"/>
  <c r="F20" i="1" s="1"/>
  <c r="E18" i="1"/>
  <c r="F18" i="1" s="1"/>
  <c r="E16" i="1"/>
  <c r="F16" i="1" s="1"/>
  <c r="C21" i="1"/>
  <c r="D21" i="1" s="1"/>
  <c r="C20" i="1"/>
  <c r="D20" i="1" s="1"/>
  <c r="C18" i="1"/>
  <c r="D18" i="1" s="1"/>
  <c r="C16" i="1"/>
  <c r="D16" i="1" s="1"/>
  <c r="L4" i="2"/>
  <c r="J4" i="2"/>
  <c r="I17" i="1" s="1"/>
  <c r="J17" i="1" s="1"/>
  <c r="F27" i="19"/>
  <c r="W17" i="1" l="1"/>
  <c r="X17" i="1" s="1"/>
  <c r="M17" i="1"/>
  <c r="N17" i="1" s="1"/>
  <c r="E17" i="1"/>
  <c r="F17" i="1" s="1"/>
  <c r="C17" i="1"/>
  <c r="D17" i="1" s="1"/>
  <c r="S17" i="1"/>
  <c r="T17" i="1" s="1"/>
  <c r="O17" i="1"/>
  <c r="P17" i="1" s="1"/>
  <c r="G17" i="1"/>
  <c r="H17" i="1" s="1"/>
  <c r="K17" i="1"/>
  <c r="L17" i="1" s="1"/>
  <c r="Q17" i="1"/>
  <c r="R17" i="1" s="1"/>
  <c r="U17" i="1"/>
  <c r="V17" i="1" s="1"/>
  <c r="E38" i="21"/>
  <c r="N30" i="21"/>
  <c r="E36" i="21"/>
  <c r="E35" i="21"/>
  <c r="E41" i="21"/>
  <c r="N41" i="21" s="1"/>
  <c r="E46" i="21"/>
  <c r="E39" i="21"/>
  <c r="N39" i="21" s="1"/>
  <c r="N31" i="21"/>
  <c r="E45" i="21"/>
  <c r="N45" i="21" s="1"/>
  <c r="N28" i="21"/>
  <c r="N37" i="21"/>
  <c r="E40" i="21"/>
  <c r="N33" i="21"/>
  <c r="E52" i="21" l="1"/>
  <c r="N52" i="21" s="1"/>
  <c r="N38" i="21"/>
  <c r="E44" i="21"/>
  <c r="N44" i="21" s="1"/>
  <c r="E50" i="21"/>
  <c r="N50" i="21" s="1"/>
  <c r="E48" i="21"/>
  <c r="N48" i="21" s="1"/>
  <c r="E43" i="21"/>
  <c r="N43" i="21" s="1"/>
  <c r="N36" i="21"/>
  <c r="E51" i="21"/>
  <c r="N51" i="21" s="1"/>
  <c r="N35" i="21"/>
  <c r="E42" i="21"/>
  <c r="N40" i="21"/>
  <c r="E47" i="21"/>
  <c r="N47" i="21" s="1"/>
  <c r="N46" i="21"/>
  <c r="E53" i="21"/>
  <c r="N53" i="21" s="1"/>
  <c r="N42" i="21" l="1"/>
  <c r="E49" i="21"/>
  <c r="N49" i="21" s="1"/>
  <c r="D17" i="19"/>
  <c r="D15" i="19"/>
  <c r="F14" i="19"/>
  <c r="F15" i="19" s="1"/>
  <c r="E14" i="19"/>
  <c r="D14" i="19"/>
  <c r="I27" i="19"/>
  <c r="I28" i="19" s="1"/>
  <c r="J28" i="19" s="1"/>
  <c r="J24" i="19"/>
  <c r="I19" i="19"/>
  <c r="I18" i="19"/>
  <c r="N57" i="21" l="1"/>
  <c r="N1" i="21" s="1"/>
  <c r="N4" i="21" s="1"/>
  <c r="L13" i="9"/>
  <c r="V6" i="2" s="1"/>
  <c r="L16" i="9"/>
  <c r="L15" i="9"/>
  <c r="L14" i="9"/>
  <c r="X6" i="2" s="1"/>
  <c r="L12" i="9"/>
  <c r="T6" i="2" s="1"/>
  <c r="F16" i="19"/>
  <c r="I15" i="19"/>
  <c r="I14" i="19"/>
  <c r="Z6" i="2" l="1"/>
  <c r="K15" i="9"/>
  <c r="K8" i="9"/>
  <c r="L11" i="9"/>
  <c r="K11" i="9" s="1"/>
  <c r="K9" i="9"/>
  <c r="K7" i="9"/>
  <c r="K17" i="9"/>
  <c r="K10" i="9"/>
  <c r="AB6" i="2"/>
  <c r="K16" i="9"/>
  <c r="L3" i="9"/>
  <c r="K3" i="9"/>
  <c r="N11" i="19"/>
  <c r="O11" i="19" s="1"/>
  <c r="F17" i="19"/>
  <c r="I17" i="19" s="1"/>
  <c r="I16" i="19"/>
  <c r="R6" i="2" l="1"/>
  <c r="N6" i="2"/>
  <c r="I20" i="19"/>
  <c r="N1" i="19" l="1"/>
  <c r="N4" i="19" s="1"/>
  <c r="J20" i="19"/>
  <c r="J6" i="2"/>
  <c r="B22" i="1" l="1"/>
  <c r="L6" i="2" l="1"/>
  <c r="W19" i="1" l="1"/>
  <c r="X19" i="1" s="1"/>
  <c r="X22" i="1" s="1"/>
  <c r="I19" i="1"/>
  <c r="C19" i="1"/>
  <c r="D19" i="1" s="1"/>
  <c r="E19" i="1"/>
  <c r="F19" i="1" s="1"/>
  <c r="G19" i="1"/>
  <c r="H19" i="1" s="1"/>
  <c r="U19" i="1"/>
  <c r="V19" i="1" s="1"/>
  <c r="S19" i="1"/>
  <c r="K19" i="1"/>
  <c r="L19" i="1" s="1"/>
  <c r="M19" i="1"/>
  <c r="N19" i="1" s="1"/>
  <c r="O19" i="1"/>
  <c r="P19" i="1" s="1"/>
  <c r="Q19" i="1"/>
  <c r="R19" i="1" s="1"/>
  <c r="W22" i="1" l="1"/>
  <c r="J19" i="1"/>
  <c r="J22" i="1" s="1"/>
  <c r="I22" i="1"/>
  <c r="T19" i="1"/>
  <c r="T22" i="1" s="1"/>
  <c r="S22" i="1"/>
  <c r="N22" i="1"/>
  <c r="M22" i="1"/>
  <c r="P22" i="1"/>
  <c r="O22" i="1"/>
  <c r="L22" i="1"/>
  <c r="K22" i="1"/>
  <c r="H22" i="1"/>
  <c r="G22" i="1"/>
  <c r="R22" i="1"/>
  <c r="Q22" i="1"/>
  <c r="V22" i="1"/>
  <c r="U22" i="1"/>
  <c r="F22" i="1"/>
  <c r="E22" i="1"/>
  <c r="D22" i="1"/>
  <c r="C22" i="1"/>
  <c r="D9" i="1" l="1"/>
  <c r="B9" i="1" s="1"/>
  <c r="D8" i="1"/>
  <c r="B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tc={860BA85A-01BF-48BC-8201-3E2246B622DF}</author>
    <author>tc={D5A27469-DE43-47E1-B3AC-B7C313C3E10F}</author>
  </authors>
  <commentList>
    <comment ref="C56" authorId="0" shapeId="0" xr:uid="{860BA85A-01BF-48BC-8201-3E2246B622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existe tubos de diferentes diâmetros com tampões no carro, considerei os menores só pra dar uma diminuida kkkkk</t>
      </text>
    </comment>
    <comment ref="F74" authorId="1" shapeId="0" xr:uid="{D5A27469-DE43-47E1-B3AC-B7C313C3E1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considerei toda a área dos tampões, pode diminuir mt</t>
      </text>
    </comment>
  </commentList>
</comments>
</file>

<file path=xl/sharedStrings.xml><?xml version="1.0" encoding="utf-8"?>
<sst xmlns="http://schemas.openxmlformats.org/spreadsheetml/2006/main" count="881" uniqueCount="353">
  <si>
    <t>Decision Matrix</t>
  </si>
  <si>
    <t>Weighted Rating</t>
  </si>
  <si>
    <t>Rating Scale</t>
  </si>
  <si>
    <t>1-Doesn't Meet Criteria</t>
  </si>
  <si>
    <t>2-Somewhat Meets Criteria</t>
  </si>
  <si>
    <t>3-Meets Criteria</t>
  </si>
  <si>
    <t>4-Excceeds Criteria</t>
  </si>
  <si>
    <t>5-Significantly Exceeds Criteria</t>
  </si>
  <si>
    <t xml:space="preserve"> Rating</t>
  </si>
  <si>
    <t>Weighted Rating x Rating</t>
  </si>
  <si>
    <t>Durabilidade</t>
  </si>
  <si>
    <t>Custo</t>
  </si>
  <si>
    <t>Confiabilidade</t>
  </si>
  <si>
    <t>Manufatura</t>
  </si>
  <si>
    <t>Peso</t>
  </si>
  <si>
    <t>Fibra de Carbono</t>
  </si>
  <si>
    <t>Fibra de Vidro</t>
  </si>
  <si>
    <t>Alumínio</t>
  </si>
  <si>
    <t>Titânio</t>
  </si>
  <si>
    <t>Compósitos</t>
  </si>
  <si>
    <t>Metais</t>
  </si>
  <si>
    <t>Conhecimento da equipe</t>
  </si>
  <si>
    <t>Qualitativo</t>
  </si>
  <si>
    <t>Critério</t>
  </si>
  <si>
    <t>Quantitativo</t>
  </si>
  <si>
    <t>Tensão de escoamento (Mpa)</t>
  </si>
  <si>
    <t>Titânio Grau 5 (Ti-6Al-4V)</t>
  </si>
  <si>
    <t>Aço 1020</t>
  </si>
  <si>
    <t xml:space="preserve">ESPECIFICIDADE </t>
  </si>
  <si>
    <t>Limite de resistência a fadiga (Mpa)</t>
  </si>
  <si>
    <t>University</t>
  </si>
  <si>
    <t>Universidade Federal de Minas Gerais</t>
  </si>
  <si>
    <t>Car #</t>
  </si>
  <si>
    <t>Part Cost</t>
  </si>
  <si>
    <t>System</t>
  </si>
  <si>
    <t>Steering System</t>
  </si>
  <si>
    <t>Qty</t>
  </si>
  <si>
    <t>Assembly</t>
  </si>
  <si>
    <t>Steering Wheel</t>
  </si>
  <si>
    <t>FileLink1</t>
  </si>
  <si>
    <t>BOM</t>
  </si>
  <si>
    <t>Part</t>
  </si>
  <si>
    <t>FileLink2</t>
  </si>
  <si>
    <t>Cost Summary</t>
  </si>
  <si>
    <t>Extended Cost</t>
  </si>
  <si>
    <t>P/N Base</t>
  </si>
  <si>
    <t>ST00002</t>
  </si>
  <si>
    <t>FileLink3</t>
  </si>
  <si>
    <t>A_Steering Wheel</t>
  </si>
  <si>
    <t>Suffix</t>
  </si>
  <si>
    <t>AA</t>
  </si>
  <si>
    <t>Details</t>
  </si>
  <si>
    <t>Student made Steering Wheel</t>
  </si>
  <si>
    <t>ItemOrder</t>
  </si>
  <si>
    <t>Material</t>
  </si>
  <si>
    <t>Use</t>
  </si>
  <si>
    <t>UnitCost</t>
  </si>
  <si>
    <t>Size1</t>
  </si>
  <si>
    <t>Unit1</t>
  </si>
  <si>
    <t>Size2</t>
  </si>
  <si>
    <t>Unit2</t>
  </si>
  <si>
    <t>Area Name</t>
  </si>
  <si>
    <t>Area</t>
  </si>
  <si>
    <t>Length</t>
  </si>
  <si>
    <t>Density</t>
  </si>
  <si>
    <t>Quantity</t>
  </si>
  <si>
    <t>Sub Total</t>
  </si>
  <si>
    <t>M1</t>
  </si>
  <si>
    <t>kg</t>
  </si>
  <si>
    <t>m²</t>
  </si>
  <si>
    <t>Process</t>
  </si>
  <si>
    <t>Unit</t>
  </si>
  <si>
    <t>Multiplier</t>
  </si>
  <si>
    <t>Mult. Val.</t>
  </si>
  <si>
    <t>P1</t>
  </si>
  <si>
    <t>Lamination, Manual</t>
  </si>
  <si>
    <t>Lamination for Steering Wheel (M1) on structural foam (M2)</t>
  </si>
  <si>
    <t>Repeat 2 - 2 plies</t>
  </si>
  <si>
    <t>P2</t>
  </si>
  <si>
    <t>Resin application for lamination process P1</t>
  </si>
  <si>
    <t>P3</t>
  </si>
  <si>
    <t>Vacuum Form</t>
  </si>
  <si>
    <t>Use of vacumm during lamination process P1</t>
  </si>
  <si>
    <t>P4</t>
  </si>
  <si>
    <t>Cure for lamination process P1</t>
  </si>
  <si>
    <t>P5</t>
  </si>
  <si>
    <t>Machining Setup, Install and Remove</t>
  </si>
  <si>
    <t>Setting up lamination product of process P1 for cutting</t>
  </si>
  <si>
    <t>unit</t>
  </si>
  <si>
    <t>cm</t>
  </si>
  <si>
    <t>Fastener</t>
  </si>
  <si>
    <t>Tooling</t>
  </si>
  <si>
    <t>PVF</t>
  </si>
  <si>
    <t>FracIncld</t>
  </si>
  <si>
    <t>T1</t>
  </si>
  <si>
    <t>Lamination - Flat Panel Tool</t>
  </si>
  <si>
    <t>Lamination on structural foam P1</t>
  </si>
  <si>
    <t>Waterjet Cut</t>
  </si>
  <si>
    <t>Cutting Steering Wheel</t>
  </si>
  <si>
    <t>P6</t>
  </si>
  <si>
    <t>Pontuação</t>
  </si>
  <si>
    <t>Melhor Material por Classe</t>
  </si>
  <si>
    <t>Aramida</t>
  </si>
  <si>
    <t>Densidade (kg/m³)</t>
  </si>
  <si>
    <t>Fibra de Vidro AF-0012</t>
  </si>
  <si>
    <t>Bidirectional Carbon Fiber Fabric – CCS-200</t>
  </si>
  <si>
    <t>Tempo</t>
  </si>
  <si>
    <t>Cura em forno</t>
  </si>
  <si>
    <t>Cura em autoclave</t>
  </si>
  <si>
    <t>Cura temperatura ambiente</t>
  </si>
  <si>
    <t>Fibra de Vidro (Manual/Manual)</t>
  </si>
  <si>
    <t>Fibra de Vidro (Manual/Infusion)</t>
  </si>
  <si>
    <t>Matriz de decisão</t>
  </si>
  <si>
    <t>Fibra de Carbono (Manual/Manual)</t>
  </si>
  <si>
    <t>Temperatura Ambiente</t>
  </si>
  <si>
    <t>Forno</t>
  </si>
  <si>
    <t>Autoclave</t>
  </si>
  <si>
    <t>Fibra de Carbono (Manual/Infusion)</t>
  </si>
  <si>
    <t>Bidirectional Para-Aramid Fabric – 200 gsm</t>
  </si>
  <si>
    <t>Aramida (Manual/Manual)</t>
  </si>
  <si>
    <t>Aramida(Manual/Infusion)</t>
  </si>
  <si>
    <t>Melhor Processo Geral:</t>
  </si>
  <si>
    <t>Aço (1020)</t>
  </si>
  <si>
    <t>Aço (4340)</t>
  </si>
  <si>
    <t>Aço (4130)</t>
  </si>
  <si>
    <t>Aço (1010)</t>
  </si>
  <si>
    <t>Aço 4340</t>
  </si>
  <si>
    <t>Aço 4130</t>
  </si>
  <si>
    <t>Aço 1010</t>
  </si>
  <si>
    <t>Titanio</t>
  </si>
  <si>
    <t>All sheets</t>
  </si>
  <si>
    <t>Cure, Autoclave</t>
  </si>
  <si>
    <t>Resin application, Infusion Molding</t>
  </si>
  <si>
    <t>Aramid (Kevlar) Fiber, 1 Ply</t>
  </si>
  <si>
    <t>Tubing Lasercut + weld + weld point</t>
  </si>
  <si>
    <t>Aluminio</t>
  </si>
  <si>
    <t>Performance</t>
  </si>
  <si>
    <t>Modulo de elasticidade</t>
  </si>
  <si>
    <t>Frame &amp; body</t>
  </si>
  <si>
    <t>Tubular Frame</t>
  </si>
  <si>
    <t>Frame Tubes</t>
  </si>
  <si>
    <t>FR00001</t>
  </si>
  <si>
    <t>A_Tubular Frame</t>
  </si>
  <si>
    <t>Part responsible for structural support of the car</t>
  </si>
  <si>
    <t>=</t>
  </si>
  <si>
    <t>Tubing, Steel</t>
  </si>
  <si>
    <t>Front Bulkhead (Pink in Rendering)</t>
  </si>
  <si>
    <t>Square, 25x25x1,2 mm</t>
  </si>
  <si>
    <t>M2</t>
  </si>
  <si>
    <t>Upper Front Bulkhead Supports (White in Rendering)</t>
  </si>
  <si>
    <t>Round, 25,4 x 1,2 mm</t>
  </si>
  <si>
    <t>M3</t>
  </si>
  <si>
    <t>Lower Front Bulkhead Supports (Green in Rendering)</t>
  </si>
  <si>
    <t>M4</t>
  </si>
  <si>
    <t>Diagonal Front Bulkhead Supports 1 (Red in Rendering)</t>
  </si>
  <si>
    <t>M5</t>
  </si>
  <si>
    <t>Diagonal Front Bulkhead Supports 2 (Orange in Rendering)</t>
  </si>
  <si>
    <t>M6</t>
  </si>
  <si>
    <t>Diagonal Front Bulkhead Supports 3 (Pink in rending)</t>
  </si>
  <si>
    <t>M7</t>
  </si>
  <si>
    <t>Diagonal Front Bulkhead Supports 4 (Cian in rending)</t>
  </si>
  <si>
    <t>Round, 15,87 x 0,75 mm</t>
  </si>
  <si>
    <t>M8</t>
  </si>
  <si>
    <t>Front Hoop Bracing (Cian in Rendering)</t>
  </si>
  <si>
    <t>M9</t>
  </si>
  <si>
    <t>Front Non-Structural Tubing 1 (Yellow in Rendering)</t>
  </si>
  <si>
    <t>Round, 25,4 x 0,9 mm</t>
  </si>
  <si>
    <t>M10</t>
  </si>
  <si>
    <t xml:space="preserve">Upper Front Non-Structural Tubing 2 (Red in Rendering) </t>
  </si>
  <si>
    <t>M11</t>
  </si>
  <si>
    <t>Lower Front Non-Structural Tubing 3 (White in Rendering)</t>
  </si>
  <si>
    <t>M12</t>
  </si>
  <si>
    <t>Front Hoop (Blue in Rendering)</t>
  </si>
  <si>
    <t>Round, 25,4  x 2,4mm</t>
  </si>
  <si>
    <t>M13</t>
  </si>
  <si>
    <t>Floor Closeout Tubing 1 (Yellow in Rendering)</t>
  </si>
  <si>
    <t>M14</t>
  </si>
  <si>
    <t>Floor Closeout Tubing 2 (White in Rendering)</t>
  </si>
  <si>
    <t>M15</t>
  </si>
  <si>
    <t>Diagonal Floor Closeout Tubing (Orange in Rendering)</t>
  </si>
  <si>
    <t>M16</t>
  </si>
  <si>
    <t>Cockpit Closeout (Pink in Rendering)</t>
  </si>
  <si>
    <t>M17</t>
  </si>
  <si>
    <t>Upper Side Impact Structure (Cian in Rendering)</t>
  </si>
  <si>
    <t>M18</t>
  </si>
  <si>
    <t>Diagonal Side Impact Structure 1 (Pink in Rendering)</t>
  </si>
  <si>
    <t>M19</t>
  </si>
  <si>
    <t>Diagonal Side Impact Structure 2 (Red in Rendering)</t>
  </si>
  <si>
    <t>M20</t>
  </si>
  <si>
    <t>Lower Side Impact Structure 1 (Cian in Rendering)</t>
  </si>
  <si>
    <t>M21</t>
  </si>
  <si>
    <t>Lower Side Impact Structure 2 (White in Rendering)</t>
  </si>
  <si>
    <t>M22</t>
  </si>
  <si>
    <t>Lower Cockpit Tubing (Green in Rendering)</t>
  </si>
  <si>
    <t>M23</t>
  </si>
  <si>
    <t>Main Hoop (Blue in Rendering)</t>
  </si>
  <si>
    <t>M24</t>
  </si>
  <si>
    <t>Shoulder Harness Mounting Bar (Pink in Rendering)</t>
  </si>
  <si>
    <t>M25</t>
  </si>
  <si>
    <t>Lower Main Hoop Tubing (Pink in Rendering)</t>
  </si>
  <si>
    <t>M26</t>
  </si>
  <si>
    <t>Main Hoop Bracing (Cian in Rendering)</t>
  </si>
  <si>
    <t>M27</t>
  </si>
  <si>
    <t>Upper Main Hoop Bracing Support 1 (Yellow in Rendering)</t>
  </si>
  <si>
    <t>M28</t>
  </si>
  <si>
    <t>Upper Main Hoop Bracing Support 2 (Red in Rendering)</t>
  </si>
  <si>
    <t>M29</t>
  </si>
  <si>
    <t>Lower Main Hoop Bracing Support 1 (Pink in Rendering)</t>
  </si>
  <si>
    <t>M30</t>
  </si>
  <si>
    <t>Lower Main Hoop Bracing Support 2 (Red in Rendering)</t>
  </si>
  <si>
    <t>M31</t>
  </si>
  <si>
    <t>Lower Main Hoop Bracing Support 3 (Yellow in Rendering)</t>
  </si>
  <si>
    <t>M32</t>
  </si>
  <si>
    <t xml:space="preserve">Lower Main Hoop Bracing Support 4 (Pink in Rendering) </t>
  </si>
  <si>
    <t>M33</t>
  </si>
  <si>
    <t>Diagonal Main Hoop Bracing Support 1 (Green in Rendering)</t>
  </si>
  <si>
    <t>M34</t>
  </si>
  <si>
    <t xml:space="preserve">Diagonal Main Hoop Bracing Support 2 (Orange in Rendering) </t>
  </si>
  <si>
    <t>M35</t>
  </si>
  <si>
    <t>Diagonal Main Hoop Bracing Support 3 (Cian in Rendering)</t>
  </si>
  <si>
    <t>M36</t>
  </si>
  <si>
    <t>Diagonal Main Hoop Bracing Support 4 (White in Rendering)</t>
  </si>
  <si>
    <t>M37</t>
  </si>
  <si>
    <t>Rear Non-Structural Tubing 1 (Green in Rendering)</t>
  </si>
  <si>
    <t>M38</t>
  </si>
  <si>
    <t>Rear Non-Structural Tubing 2 (White in Rendering)</t>
  </si>
  <si>
    <t>M39</t>
  </si>
  <si>
    <t>Rear Non-Structural Tubing 3 (Orange in Rendering)</t>
  </si>
  <si>
    <t>M40</t>
  </si>
  <si>
    <t>Rear Non-Structural Tubing 4 (Green in Rendering)</t>
  </si>
  <si>
    <t>M41</t>
  </si>
  <si>
    <t>Steering Wheel Support (Orange in Rendering)</t>
  </si>
  <si>
    <t>Round, 19,05 x 1,2mm</t>
  </si>
  <si>
    <t>M42</t>
  </si>
  <si>
    <t>Steering Column Support  (Green in Rendering)</t>
  </si>
  <si>
    <t>M43</t>
  </si>
  <si>
    <t>Part of Engine Suport (Blue in Rendering)</t>
  </si>
  <si>
    <t>Round, 19,05 x 1,2 mm</t>
  </si>
  <si>
    <t>M44</t>
  </si>
  <si>
    <t>Steel, Mild (by Dimensions)</t>
  </si>
  <si>
    <t>Steering Wheel Fixture, Steering Collum FIxature, Engine Flange Suports (Blue in Rendering)</t>
  </si>
  <si>
    <t>Plate, 320 x 55 x 2mm</t>
  </si>
  <si>
    <t>M45</t>
  </si>
  <si>
    <t>Paint, Priming/Protective Finishing</t>
  </si>
  <si>
    <t>Painting for the Frame Tubes</t>
  </si>
  <si>
    <t xml:space="preserve"> </t>
  </si>
  <si>
    <t>M46</t>
  </si>
  <si>
    <t>Bushings for Front Bulkhead</t>
  </si>
  <si>
    <t>Block 14mm diameter</t>
  </si>
  <si>
    <t>M47</t>
  </si>
  <si>
    <t>Plate to cover the tubes</t>
  </si>
  <si>
    <t>Plate, 68 x 34 x 1,5 mm</t>
  </si>
  <si>
    <t xml:space="preserve">Tube Bends </t>
  </si>
  <si>
    <t>Bending of Front Hoop and Main Hoop</t>
  </si>
  <si>
    <t>bend</t>
  </si>
  <si>
    <t xml:space="preserve">Drilled holes &lt; 25.4 mm dia.	</t>
  </si>
  <si>
    <t>Drilling holes on Front Bulkhead and Main Hoop</t>
  </si>
  <si>
    <t>hole</t>
  </si>
  <si>
    <t>Tubing Lasercut Profiling/end preparation</t>
  </si>
  <si>
    <t>Tubing Lasercut and Fishmouthing in square tubes 25x25x1,2mm: Front and Main Hoop Bracing, Side Impact Members</t>
  </si>
  <si>
    <t>Repeat 38</t>
  </si>
  <si>
    <t>Tubing Lasercut and Fishmouthing in round tubes 25,4x1,2mm: Front Bulkhead Supports, Upper, Diagonal and Lower Main Hoop Bracing Supports</t>
  </si>
  <si>
    <t>Repeat 48</t>
  </si>
  <si>
    <t>Tubing Lasercut and Fishmouthing in round tubes 15,87x0,75mm: Floor Tubes, Non Primary Structure Tubes</t>
  </si>
  <si>
    <t>Repeat 32</t>
  </si>
  <si>
    <t>Tubing Lasercut and Fishmouthing in round tubes 19,05x1,2mm: Steering Wheel Support, Steering Column Support and Part of Engine Support</t>
  </si>
  <si>
    <t>Repeat 10</t>
  </si>
  <si>
    <t>P7</t>
  </si>
  <si>
    <t>Tubing Lasercut and Fishmouthing in round tubes 25,4x0,9mm: Front, Upper and Lower Non-Stuctural Tubing</t>
  </si>
  <si>
    <t>Repeat 12</t>
  </si>
  <si>
    <t>P8</t>
  </si>
  <si>
    <t>Positioning Steel (M43) plate 2mm for cutting, resulting in 8 pieces</t>
  </si>
  <si>
    <t>Repeat 8</t>
  </si>
  <si>
    <t>P9</t>
  </si>
  <si>
    <t>Laser Cut</t>
  </si>
  <si>
    <t>Cutting plates for Steering Wheel, Collum Fixture and Engine Flange Suports, set up on P7</t>
  </si>
  <si>
    <t>Material - Steel</t>
  </si>
  <si>
    <t>P10</t>
  </si>
  <si>
    <t>Setting up steel (M46) for machining, resulting in 8 bushes</t>
  </si>
  <si>
    <t>Repeat 8 - 8 pieces</t>
  </si>
  <si>
    <t>P11</t>
  </si>
  <si>
    <t>Machining</t>
  </si>
  <si>
    <t>Machining bushes (M46), set up on P10</t>
  </si>
  <si>
    <t>cm³</t>
  </si>
  <si>
    <t>P12</t>
  </si>
  <si>
    <t>Positioning Steel (M47) plate 1.5mm for cutting, resulting in 8 pieces</t>
  </si>
  <si>
    <t>P13</t>
  </si>
  <si>
    <t>Cutting plates for Covers of the end of Tubes, set up on P12</t>
  </si>
  <si>
    <t>P14</t>
  </si>
  <si>
    <t>Tube End Preperation for Welding</t>
  </si>
  <si>
    <t>Cleaning all round and square tubes for welding</t>
  </si>
  <si>
    <t>end</t>
  </si>
  <si>
    <t>P15</t>
  </si>
  <si>
    <t>Hand Finish - Surface Preperation</t>
  </si>
  <si>
    <t>Cleaning all 2 and 1.5 mm plates for welding</t>
  </si>
  <si>
    <t>cm²</t>
  </si>
  <si>
    <t>P16</t>
  </si>
  <si>
    <t>Assemble, 1kg, Line-on-line</t>
  </si>
  <si>
    <t>Fitting all tubes and plates on chassis templates</t>
  </si>
  <si>
    <t>P17</t>
  </si>
  <si>
    <t>Weld</t>
  </si>
  <si>
    <t>Welding of all tubes and plates</t>
  </si>
  <si>
    <t>P18</t>
  </si>
  <si>
    <t>Surface Preparation for Painting</t>
  </si>
  <si>
    <t>Surface preparation for painting on the entire tube structure</t>
  </si>
  <si>
    <t>P19</t>
  </si>
  <si>
    <t>Paint Apply, Schultz Type Application</t>
  </si>
  <si>
    <t>Protective painting entire tube structure with paint (M45)</t>
  </si>
  <si>
    <t>Welds - Welding Fixture</t>
  </si>
  <si>
    <t>Entire tube structure, Nodes of chassis</t>
  </si>
  <si>
    <t>point</t>
  </si>
  <si>
    <t>Material:</t>
  </si>
  <si>
    <t>Aço inox</t>
  </si>
  <si>
    <t>Aço 1020:</t>
  </si>
  <si>
    <t>Aço 4340:</t>
  </si>
  <si>
    <t>Aço 4130:</t>
  </si>
  <si>
    <t>Titanio:</t>
  </si>
  <si>
    <t>Aluminio:</t>
  </si>
  <si>
    <t>Fibra de Carbono:</t>
  </si>
  <si>
    <t>Fibra de Vidro:</t>
  </si>
  <si>
    <t>Aramida:</t>
  </si>
  <si>
    <t>Aço 1010:</t>
  </si>
  <si>
    <t>Aço</t>
  </si>
  <si>
    <t>Aço Inox</t>
  </si>
  <si>
    <t>AISI 304</t>
  </si>
  <si>
    <t>Aço inox:</t>
  </si>
  <si>
    <t>Aluminum, Premium (by Dimensions)</t>
  </si>
  <si>
    <t>Metal sheets</t>
  </si>
  <si>
    <t>Cutting Metal sheet</t>
  </si>
  <si>
    <t>Material - Aluminum</t>
  </si>
  <si>
    <t>Tubing Lasercut and Fishmouthing in square tubes 25x25x1,2mm:Main Hoop Bracing</t>
  </si>
  <si>
    <t>Repeat 4</t>
  </si>
  <si>
    <t>Bending of Main Hoop</t>
  </si>
  <si>
    <t>Cleaning all 2 mm plates for welding</t>
  </si>
  <si>
    <t>6061 (6061-T61, A97076) Aluminum</t>
  </si>
  <si>
    <t>Monocoque</t>
  </si>
  <si>
    <t>Chassi tubular</t>
  </si>
  <si>
    <t>Corte a agua + solda</t>
  </si>
  <si>
    <t>Aluminio chassi</t>
  </si>
  <si>
    <t>Aluminio Chassi</t>
  </si>
  <si>
    <t>Aço 4340 Tubing Lasercut + weld + weld point</t>
  </si>
  <si>
    <t>Aço 4130 Tubing Lasercut + weld + weld point</t>
  </si>
  <si>
    <t>Aço 1010 Tubing Lasercut + weld + weld point</t>
  </si>
  <si>
    <t>Positioning Aluminum plates 5mm for cutting, resulting in 10 pieces</t>
  </si>
  <si>
    <t>MONOCOQUE</t>
  </si>
  <si>
    <t>Aluminio CHASSI</t>
  </si>
  <si>
    <t>Soldabilidade</t>
  </si>
  <si>
    <t>Total</t>
  </si>
  <si>
    <t>Nota</t>
  </si>
  <si>
    <t>Somatório total</t>
  </si>
  <si>
    <t>Criterio</t>
  </si>
  <si>
    <t>Geral</t>
  </si>
  <si>
    <t>Soldabilidade/Facilidade de união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</si>
</sst>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&quot;$&quot;* #,##0.00_);_(&quot;$&quot;* \(#,##0.00\);_(&quot;$&quot;* &quot;-&quot;??_);_(@_)"/>
    <numFmt numFmtId="165" formatCode="0.000"/>
    <numFmt numFmtId="166" formatCode="_(* #,##0.00_);_(* \(#,##0.00\);_(* &quot;-&quot;??_);_(@_)"/>
    <numFmt numFmtId="167" formatCode="#,##0.0000"/>
    <numFmt numFmtId="168" formatCode="0.00000"/>
    <numFmt numFmtId="169" formatCode="_-[$$-409]* #,##0.00_ ;_-[$$-409]* \-#,##0.00\ ;_-[$$-409]* \-??_ ;_-@_ "/>
    <numFmt numFmtId="170" formatCode="0.0"/>
    <numFmt numFmtId="171" formatCode="#,##0.000;\-#,##0.000"/>
    <numFmt numFmtId="172" formatCode="_-[$$-409]* #,##0.00_ ;_-[$$-409]* \-#,##0.00\ ;_-[$$-409]* &quot;-&quot;??_ ;_-@_ "/>
    <numFmt numFmtId="173" formatCode="0.0000"/>
    <numFmt numFmtId="174" formatCode="[$$-409]#,##0.00"/>
  </numFmts>
  <fonts count="32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Montserrat Regular"/>
    </font>
    <font>
      <sz val="12"/>
      <color theme="1"/>
      <name val="Calibri"/>
      <family val="2"/>
      <scheme val="minor"/>
    </font>
    <font>
      <sz val="12"/>
      <color theme="1"/>
      <name val="Monsterrat "/>
    </font>
    <font>
      <b/>
      <sz val="14"/>
      <color theme="1"/>
      <name val="Calibri"/>
      <family val="2"/>
      <scheme val="minor"/>
    </font>
    <font>
      <b/>
      <sz val="12"/>
      <color theme="1"/>
      <name val="Montserrat Regula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scheme val="minor"/>
    </font>
    <font>
      <sz val="11"/>
      <name val="Calibri"/>
    </font>
    <font>
      <sz val="11"/>
      <color theme="1"/>
      <name val="Calibri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Montserrat Regular"/>
    </font>
    <font>
      <sz val="12"/>
      <color theme="0"/>
      <name val="Montserrat Regula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BFC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6FECC"/>
        <bgColor indexed="64"/>
      </patternFill>
    </fill>
    <fill>
      <patternFill patternType="solid">
        <fgColor rgb="FFEAFE9A"/>
        <bgColor indexed="64"/>
      </patternFill>
    </fill>
    <fill>
      <patternFill patternType="solid">
        <fgColor rgb="FF5B8E0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D00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35BBB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12" fillId="0" borderId="0"/>
    <xf numFmtId="0" fontId="15" fillId="0" borderId="0" applyNumberFormat="0" applyFill="0" applyBorder="0" applyAlignment="0" applyProtection="0"/>
    <xf numFmtId="0" fontId="12" fillId="0" borderId="0"/>
    <xf numFmtId="0" fontId="16" fillId="0" borderId="0"/>
    <xf numFmtId="0" fontId="12" fillId="0" borderId="0"/>
    <xf numFmtId="164" fontId="23" fillId="0" borderId="0" applyFont="0" applyFill="0" applyBorder="0" applyAlignment="0" applyProtection="0"/>
    <xf numFmtId="0" fontId="19" fillId="0" borderId="0"/>
    <xf numFmtId="166" fontId="23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5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0" xfId="1" applyFill="1"/>
    <xf numFmtId="0" fontId="6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/>
    <xf numFmtId="0" fontId="6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4" fillId="10" borderId="7" xfId="2" applyFont="1" applyFill="1" applyBorder="1"/>
    <xf numFmtId="0" fontId="13" fillId="0" borderId="0" xfId="2" applyFont="1"/>
    <xf numFmtId="0" fontId="13" fillId="0" borderId="7" xfId="2" applyFont="1" applyBorder="1"/>
    <xf numFmtId="0" fontId="14" fillId="10" borderId="8" xfId="2" applyFont="1" applyFill="1" applyBorder="1"/>
    <xf numFmtId="0" fontId="13" fillId="0" borderId="0" xfId="2" applyFont="1" applyAlignment="1">
      <alignment horizontal="right"/>
    </xf>
    <xf numFmtId="164" fontId="13" fillId="0" borderId="0" xfId="2" applyNumberFormat="1" applyFont="1" applyAlignment="1">
      <alignment horizontal="right"/>
    </xf>
    <xf numFmtId="37" fontId="13" fillId="0" borderId="0" xfId="2" applyNumberFormat="1" applyFont="1" applyAlignment="1">
      <alignment horizontal="right"/>
    </xf>
    <xf numFmtId="0" fontId="4" fillId="0" borderId="0" xfId="1" applyBorder="1" applyAlignment="1">
      <alignment horizontal="center"/>
    </xf>
    <xf numFmtId="0" fontId="13" fillId="2" borderId="0" xfId="2" applyFont="1" applyFill="1"/>
    <xf numFmtId="0" fontId="15" fillId="0" borderId="0" xfId="3" applyBorder="1" applyAlignment="1">
      <alignment horizontal="center"/>
    </xf>
    <xf numFmtId="0" fontId="12" fillId="0" borderId="0" xfId="2"/>
    <xf numFmtId="0" fontId="13" fillId="0" borderId="9" xfId="2" applyFont="1" applyBorder="1"/>
    <xf numFmtId="0" fontId="14" fillId="10" borderId="10" xfId="2" applyFont="1" applyFill="1" applyBorder="1"/>
    <xf numFmtId="0" fontId="14" fillId="10" borderId="11" xfId="2" applyFont="1" applyFill="1" applyBorder="1"/>
    <xf numFmtId="0" fontId="13" fillId="0" borderId="12" xfId="4" applyFont="1" applyBorder="1" applyAlignment="1">
      <alignment horizontal="center"/>
    </xf>
    <xf numFmtId="0" fontId="13" fillId="0" borderId="12" xfId="4" applyFont="1" applyBorder="1"/>
    <xf numFmtId="164" fontId="13" fillId="0" borderId="12" xfId="4" applyNumberFormat="1" applyFont="1" applyBorder="1" applyAlignment="1">
      <alignment horizontal="center"/>
    </xf>
    <xf numFmtId="165" fontId="13" fillId="0" borderId="12" xfId="5" applyNumberFormat="1" applyFont="1" applyBorder="1" applyAlignment="1">
      <alignment horizontal="center"/>
    </xf>
    <xf numFmtId="166" fontId="13" fillId="0" borderId="13" xfId="4" applyNumberFormat="1" applyFont="1" applyBorder="1" applyAlignment="1">
      <alignment horizontal="center"/>
    </xf>
    <xf numFmtId="167" fontId="13" fillId="2" borderId="12" xfId="4" applyNumberFormat="1" applyFont="1" applyFill="1" applyBorder="1" applyAlignment="1">
      <alignment horizontal="center"/>
    </xf>
    <xf numFmtId="168" fontId="13" fillId="0" borderId="14" xfId="5" applyNumberFormat="1" applyFont="1" applyBorder="1" applyAlignment="1">
      <alignment horizontal="center"/>
    </xf>
    <xf numFmtId="2" fontId="13" fillId="0" borderId="12" xfId="4" applyNumberFormat="1" applyFont="1" applyBorder="1" applyAlignment="1">
      <alignment horizontal="center"/>
    </xf>
    <xf numFmtId="0" fontId="13" fillId="0" borderId="11" xfId="2" applyFont="1" applyBorder="1" applyAlignment="1">
      <alignment horizontal="center"/>
    </xf>
    <xf numFmtId="0" fontId="17" fillId="0" borderId="0" xfId="2" applyFont="1"/>
    <xf numFmtId="0" fontId="14" fillId="0" borderId="0" xfId="2" applyFont="1" applyAlignment="1">
      <alignment horizontal="left"/>
    </xf>
    <xf numFmtId="0" fontId="13" fillId="0" borderId="15" xfId="2" applyFont="1" applyBorder="1"/>
    <xf numFmtId="0" fontId="14" fillId="10" borderId="11" xfId="2" applyFont="1" applyFill="1" applyBorder="1" applyAlignment="1">
      <alignment horizontal="right"/>
    </xf>
    <xf numFmtId="164" fontId="14" fillId="10" borderId="11" xfId="2" applyNumberFormat="1" applyFont="1" applyFill="1" applyBorder="1" applyAlignment="1">
      <alignment horizontal="right"/>
    </xf>
    <xf numFmtId="0" fontId="14" fillId="10" borderId="1" xfId="2" applyFont="1" applyFill="1" applyBorder="1"/>
    <xf numFmtId="0" fontId="13" fillId="0" borderId="10" xfId="2" applyFont="1" applyBorder="1" applyAlignment="1">
      <alignment horizontal="center"/>
    </xf>
    <xf numFmtId="0" fontId="13" fillId="0" borderId="11" xfId="2" applyFont="1" applyBorder="1"/>
    <xf numFmtId="169" fontId="13" fillId="0" borderId="11" xfId="2" applyNumberFormat="1" applyFont="1" applyBorder="1" applyAlignment="1">
      <alignment horizontal="right"/>
    </xf>
    <xf numFmtId="2" fontId="13" fillId="11" borderId="11" xfId="2" applyNumberFormat="1" applyFont="1" applyFill="1" applyBorder="1" applyAlignment="1">
      <alignment horizontal="center" wrapText="1"/>
    </xf>
    <xf numFmtId="0" fontId="13" fillId="0" borderId="11" xfId="2" applyFont="1" applyBorder="1" applyAlignment="1">
      <alignment horizontal="center" wrapText="1"/>
    </xf>
    <xf numFmtId="164" fontId="13" fillId="0" borderId="11" xfId="2" applyNumberFormat="1" applyFont="1" applyBorder="1" applyAlignment="1">
      <alignment horizontal="right"/>
    </xf>
    <xf numFmtId="1" fontId="13" fillId="11" borderId="11" xfId="2" applyNumberFormat="1" applyFont="1" applyFill="1" applyBorder="1" applyAlignment="1">
      <alignment horizontal="center" wrapText="1"/>
    </xf>
    <xf numFmtId="0" fontId="14" fillId="10" borderId="9" xfId="2" applyFont="1" applyFill="1" applyBorder="1"/>
    <xf numFmtId="0" fontId="13" fillId="0" borderId="10" xfId="2" applyFont="1" applyBorder="1"/>
    <xf numFmtId="39" fontId="13" fillId="0" borderId="11" xfId="2" applyNumberFormat="1" applyFont="1" applyBorder="1"/>
    <xf numFmtId="37" fontId="13" fillId="0" borderId="9" xfId="2" applyNumberFormat="1" applyFont="1" applyBorder="1"/>
    <xf numFmtId="0" fontId="13" fillId="0" borderId="1" xfId="2" applyFont="1" applyBorder="1"/>
    <xf numFmtId="0" fontId="18" fillId="10" borderId="13" xfId="2" applyFont="1" applyFill="1" applyBorder="1" applyAlignment="1">
      <alignment horizontal="right"/>
    </xf>
    <xf numFmtId="164" fontId="13" fillId="0" borderId="12" xfId="4" applyNumberFormat="1" applyFont="1" applyBorder="1"/>
    <xf numFmtId="165" fontId="13" fillId="0" borderId="12" xfId="4" applyNumberFormat="1" applyFont="1" applyBorder="1" applyAlignment="1">
      <alignment horizontal="center"/>
    </xf>
    <xf numFmtId="0" fontId="14" fillId="0" borderId="0" xfId="2" applyFont="1"/>
    <xf numFmtId="164" fontId="13" fillId="0" borderId="0" xfId="4" applyNumberFormat="1" applyFont="1" applyAlignment="1">
      <alignment horizontal="center"/>
    </xf>
    <xf numFmtId="170" fontId="13" fillId="11" borderId="11" xfId="2" applyNumberFormat="1" applyFont="1" applyFill="1" applyBorder="1" applyAlignment="1">
      <alignment horizontal="center" wrapText="1"/>
    </xf>
    <xf numFmtId="1" fontId="6" fillId="4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170" fontId="6" fillId="4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" fontId="10" fillId="0" borderId="0" xfId="0" quotePrefix="1" applyNumberFormat="1" applyFont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0" fontId="20" fillId="8" borderId="1" xfId="0" applyFont="1" applyFill="1" applyBorder="1" applyAlignment="1">
      <alignment vertical="center" wrapText="1"/>
    </xf>
    <xf numFmtId="171" fontId="13" fillId="0" borderId="0" xfId="2" applyNumberFormat="1" applyFont="1" applyAlignment="1">
      <alignment horizontal="right"/>
    </xf>
    <xf numFmtId="168" fontId="12" fillId="0" borderId="0" xfId="2" applyNumberFormat="1"/>
    <xf numFmtId="0" fontId="20" fillId="8" borderId="6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horizontal="center" vertical="center"/>
    </xf>
    <xf numFmtId="0" fontId="14" fillId="10" borderId="8" xfId="0" applyFont="1" applyFill="1" applyBorder="1"/>
    <xf numFmtId="0" fontId="13" fillId="0" borderId="0" xfId="6" applyFont="1"/>
    <xf numFmtId="0" fontId="21" fillId="0" borderId="0" xfId="0" applyFont="1"/>
    <xf numFmtId="0" fontId="22" fillId="12" borderId="18" xfId="0" applyFont="1" applyFill="1" applyBorder="1" applyAlignment="1">
      <alignment horizontal="left"/>
    </xf>
    <xf numFmtId="0" fontId="21" fillId="0" borderId="0" xfId="0" quotePrefix="1" applyFont="1" applyAlignment="1">
      <alignment horizontal="right"/>
    </xf>
    <xf numFmtId="0" fontId="22" fillId="12" borderId="18" xfId="0" applyFont="1" applyFill="1" applyBorder="1"/>
    <xf numFmtId="164" fontId="21" fillId="0" borderId="0" xfId="7" applyFont="1" applyFill="1" applyBorder="1"/>
    <xf numFmtId="0" fontId="14" fillId="10" borderId="7" xfId="0" applyFont="1" applyFill="1" applyBorder="1"/>
    <xf numFmtId="0" fontId="13" fillId="0" borderId="0" xfId="8" applyFont="1"/>
    <xf numFmtId="37" fontId="21" fillId="0" borderId="0" xfId="9" applyNumberFormat="1" applyFont="1" applyFill="1" applyBorder="1"/>
    <xf numFmtId="0" fontId="21" fillId="2" borderId="0" xfId="0" applyFont="1" applyFill="1"/>
    <xf numFmtId="0" fontId="4" fillId="0" borderId="0" xfId="10" applyFont="1" applyBorder="1" applyAlignment="1">
      <alignment horizontal="center"/>
    </xf>
    <xf numFmtId="0" fontId="14" fillId="10" borderId="12" xfId="0" applyFont="1" applyFill="1" applyBorder="1" applyAlignment="1">
      <alignment vertical="center"/>
    </xf>
    <xf numFmtId="164" fontId="14" fillId="10" borderId="12" xfId="0" applyNumberFormat="1" applyFont="1" applyFill="1" applyBorder="1" applyAlignment="1">
      <alignment vertical="center"/>
    </xf>
    <xf numFmtId="0" fontId="14" fillId="10" borderId="12" xfId="0" applyFont="1" applyFill="1" applyBorder="1" applyAlignment="1">
      <alignment horizontal="left" vertical="center"/>
    </xf>
    <xf numFmtId="0" fontId="22" fillId="0" borderId="0" xfId="0" applyFont="1"/>
    <xf numFmtId="0" fontId="13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vertical="center"/>
    </xf>
    <xf numFmtId="172" fontId="13" fillId="2" borderId="12" xfId="0" applyNumberFormat="1" applyFont="1" applyFill="1" applyBorder="1" applyAlignment="1">
      <alignment vertical="center"/>
    </xf>
    <xf numFmtId="173" fontId="13" fillId="2" borderId="12" xfId="0" applyNumberFormat="1" applyFont="1" applyFill="1" applyBorder="1" applyAlignment="1">
      <alignment horizontal="center" vertical="center"/>
    </xf>
    <xf numFmtId="49" fontId="13" fillId="2" borderId="12" xfId="0" applyNumberFormat="1" applyFont="1" applyFill="1" applyBorder="1" applyAlignment="1">
      <alignment horizontal="center" vertical="center"/>
    </xf>
    <xf numFmtId="4" fontId="13" fillId="2" borderId="19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2" fontId="21" fillId="2" borderId="0" xfId="0" applyNumberFormat="1" applyFont="1" applyFill="1"/>
    <xf numFmtId="173" fontId="13" fillId="2" borderId="12" xfId="0" applyNumberFormat="1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vertical="center" wrapText="1"/>
    </xf>
    <xf numFmtId="0" fontId="22" fillId="2" borderId="0" xfId="0" applyFont="1" applyFill="1"/>
    <xf numFmtId="0" fontId="21" fillId="2" borderId="9" xfId="0" applyFont="1" applyFill="1" applyBorder="1"/>
    <xf numFmtId="165" fontId="13" fillId="2" borderId="12" xfId="0" applyNumberFormat="1" applyFont="1" applyFill="1" applyBorder="1" applyAlignment="1">
      <alignment horizontal="center" vertical="center"/>
    </xf>
    <xf numFmtId="2" fontId="13" fillId="2" borderId="12" xfId="0" applyNumberFormat="1" applyFont="1" applyFill="1" applyBorder="1" applyAlignment="1">
      <alignment horizontal="center" vertical="center"/>
    </xf>
    <xf numFmtId="165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vertical="center"/>
    </xf>
    <xf numFmtId="173" fontId="13" fillId="2" borderId="13" xfId="0" applyNumberFormat="1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10" borderId="16" xfId="0" applyFont="1" applyFill="1" applyBorder="1" applyAlignment="1">
      <alignment vertical="center"/>
    </xf>
    <xf numFmtId="172" fontId="14" fillId="10" borderId="1" xfId="0" applyNumberFormat="1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vertical="center"/>
    </xf>
    <xf numFmtId="172" fontId="13" fillId="14" borderId="12" xfId="0" applyNumberFormat="1" applyFont="1" applyFill="1" applyBorder="1" applyAlignment="1">
      <alignment vertical="center"/>
    </xf>
    <xf numFmtId="0" fontId="25" fillId="0" borderId="0" xfId="0" applyFont="1"/>
    <xf numFmtId="0" fontId="13" fillId="14" borderId="21" xfId="0" applyFont="1" applyFill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vertical="center" wrapText="1"/>
    </xf>
    <xf numFmtId="172" fontId="13" fillId="14" borderId="13" xfId="0" applyNumberFormat="1" applyFont="1" applyFill="1" applyBorder="1" applyAlignment="1">
      <alignment vertical="center"/>
    </xf>
    <xf numFmtId="0" fontId="21" fillId="2" borderId="12" xfId="0" applyFont="1" applyFill="1" applyBorder="1" applyAlignment="1">
      <alignment horizontal="center"/>
    </xf>
    <xf numFmtId="4" fontId="13" fillId="14" borderId="12" xfId="0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vertical="center"/>
    </xf>
    <xf numFmtId="0" fontId="26" fillId="0" borderId="12" xfId="0" applyFont="1" applyBorder="1" applyAlignment="1">
      <alignment vertical="center" wrapText="1"/>
    </xf>
    <xf numFmtId="172" fontId="26" fillId="14" borderId="13" xfId="0" applyNumberFormat="1" applyFont="1" applyFill="1" applyBorder="1" applyAlignment="1">
      <alignment vertical="center"/>
    </xf>
    <xf numFmtId="0" fontId="25" fillId="2" borderId="12" xfId="0" applyFont="1" applyFill="1" applyBorder="1" applyAlignment="1">
      <alignment horizontal="center"/>
    </xf>
    <xf numFmtId="0" fontId="13" fillId="14" borderId="19" xfId="0" applyFont="1" applyFill="1" applyBorder="1" applyAlignment="1">
      <alignment horizontal="left"/>
    </xf>
    <xf numFmtId="164" fontId="13" fillId="14" borderId="19" xfId="0" applyNumberFormat="1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 vertical="center"/>
    </xf>
    <xf numFmtId="2" fontId="13" fillId="14" borderId="19" xfId="0" applyNumberFormat="1" applyFont="1" applyFill="1" applyBorder="1" applyAlignment="1">
      <alignment horizontal="center" vertical="center"/>
    </xf>
    <xf numFmtId="49" fontId="13" fillId="2" borderId="19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2" fontId="13" fillId="14" borderId="12" xfId="0" applyNumberFormat="1" applyFont="1" applyFill="1" applyBorder="1" applyAlignment="1">
      <alignment horizontal="center" vertical="center"/>
    </xf>
    <xf numFmtId="0" fontId="13" fillId="14" borderId="10" xfId="0" applyFont="1" applyFill="1" applyBorder="1" applyAlignment="1">
      <alignment vertical="center"/>
    </xf>
    <xf numFmtId="0" fontId="26" fillId="0" borderId="13" xfId="0" applyFont="1" applyBorder="1" applyAlignment="1">
      <alignment horizontal="center"/>
    </xf>
    <xf numFmtId="0" fontId="13" fillId="13" borderId="12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left"/>
    </xf>
    <xf numFmtId="164" fontId="13" fillId="0" borderId="24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2" fontId="13" fillId="0" borderId="12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2" fontId="13" fillId="14" borderId="13" xfId="0" applyNumberFormat="1" applyFont="1" applyFill="1" applyBorder="1" applyAlignment="1">
      <alignment horizontal="center" vertical="center"/>
    </xf>
    <xf numFmtId="3" fontId="14" fillId="0" borderId="0" xfId="0" applyNumberFormat="1" applyFont="1" applyAlignment="1">
      <alignment vertical="center"/>
    </xf>
    <xf numFmtId="172" fontId="14" fillId="10" borderId="12" xfId="0" applyNumberFormat="1" applyFont="1" applyFill="1" applyBorder="1" applyAlignment="1">
      <alignment vertical="center"/>
    </xf>
    <xf numFmtId="0" fontId="14" fillId="10" borderId="19" xfId="0" applyFont="1" applyFill="1" applyBorder="1"/>
    <xf numFmtId="164" fontId="14" fillId="10" borderId="19" xfId="0" applyNumberFormat="1" applyFont="1" applyFill="1" applyBorder="1"/>
    <xf numFmtId="0" fontId="14" fillId="10" borderId="21" xfId="0" applyFont="1" applyFill="1" applyBorder="1"/>
    <xf numFmtId="164" fontId="13" fillId="0" borderId="13" xfId="0" applyNumberFormat="1" applyFont="1" applyBorder="1" applyAlignment="1">
      <alignment horizontal="center"/>
    </xf>
    <xf numFmtId="2" fontId="13" fillId="0" borderId="13" xfId="0" applyNumberFormat="1" applyFont="1" applyBorder="1" applyAlignment="1">
      <alignment horizontal="center"/>
    </xf>
    <xf numFmtId="49" fontId="13" fillId="0" borderId="13" xfId="0" applyNumberFormat="1" applyFont="1" applyBorder="1" applyAlignment="1">
      <alignment horizontal="center"/>
    </xf>
    <xf numFmtId="1" fontId="13" fillId="0" borderId="13" xfId="0" applyNumberFormat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14" fillId="10" borderId="10" xfId="0" applyFont="1" applyFill="1" applyBorder="1"/>
    <xf numFmtId="172" fontId="14" fillId="10" borderId="10" xfId="0" applyNumberFormat="1" applyFont="1" applyFill="1" applyBorder="1"/>
    <xf numFmtId="0" fontId="13" fillId="0" borderId="12" xfId="0" applyFont="1" applyBorder="1" applyAlignment="1">
      <alignment horizontal="left" vertical="center"/>
    </xf>
    <xf numFmtId="49" fontId="13" fillId="0" borderId="12" xfId="0" applyNumberFormat="1" applyFont="1" applyBorder="1" applyAlignment="1">
      <alignment horizontal="center" vertical="center"/>
    </xf>
    <xf numFmtId="172" fontId="13" fillId="0" borderId="12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174" fontId="0" fillId="7" borderId="1" xfId="0" applyNumberFormat="1" applyFill="1" applyBorder="1" applyAlignment="1">
      <alignment horizontal="center" vertical="center"/>
    </xf>
    <xf numFmtId="2" fontId="9" fillId="8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0" borderId="0" xfId="0" applyFont="1"/>
    <xf numFmtId="0" fontId="3" fillId="8" borderId="3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" fontId="13" fillId="0" borderId="12" xfId="4" applyNumberFormat="1" applyFont="1" applyBorder="1" applyAlignment="1">
      <alignment horizontal="center"/>
    </xf>
    <xf numFmtId="0" fontId="13" fillId="7" borderId="11" xfId="2" applyFont="1" applyFill="1" applyBorder="1" applyAlignment="1">
      <alignment horizontal="center" wrapText="1"/>
    </xf>
    <xf numFmtId="0" fontId="13" fillId="7" borderId="11" xfId="2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" fontId="3" fillId="6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textRotation="90" wrapText="1"/>
    </xf>
    <xf numFmtId="0" fontId="27" fillId="0" borderId="1" xfId="0" applyFont="1" applyBorder="1" applyAlignment="1">
      <alignment horizontal="center" vertical="center" textRotation="90"/>
    </xf>
    <xf numFmtId="0" fontId="20" fillId="8" borderId="6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8" fillId="2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170" fontId="29" fillId="15" borderId="2" xfId="0" applyNumberFormat="1" applyFont="1" applyFill="1" applyBorder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4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/>
    </xf>
    <xf numFmtId="170" fontId="31" fillId="15" borderId="1" xfId="0" applyNumberFormat="1" applyFont="1" applyFill="1" applyBorder="1" applyAlignment="1">
      <alignment horizontal="center" vertical="center"/>
    </xf>
    <xf numFmtId="1" fontId="31" fillId="15" borderId="1" xfId="0" applyNumberFormat="1" applyFont="1" applyFill="1" applyBorder="1" applyAlignment="1">
      <alignment horizontal="center" vertical="center"/>
    </xf>
    <xf numFmtId="170" fontId="31" fillId="15" borderId="6" xfId="0" applyNumberFormat="1" applyFont="1" applyFill="1" applyBorder="1" applyAlignment="1">
      <alignment horizontal="center" vertical="center"/>
    </xf>
    <xf numFmtId="1" fontId="30" fillId="15" borderId="5" xfId="0" applyNumberFormat="1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9" fillId="17" borderId="2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9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vertical="center"/>
    </xf>
    <xf numFmtId="0" fontId="10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vertical="center"/>
    </xf>
    <xf numFmtId="170" fontId="6" fillId="17" borderId="1" xfId="0" applyNumberFormat="1" applyFont="1" applyFill="1" applyBorder="1" applyAlignment="1">
      <alignment horizontal="center" vertical="center"/>
    </xf>
    <xf numFmtId="1" fontId="6" fillId="17" borderId="1" xfId="0" applyNumberFormat="1" applyFont="1" applyFill="1" applyBorder="1" applyAlignment="1">
      <alignment horizontal="center" vertical="center"/>
    </xf>
    <xf numFmtId="1" fontId="6" fillId="17" borderId="6" xfId="0" applyNumberFormat="1" applyFont="1" applyFill="1" applyBorder="1" applyAlignment="1">
      <alignment horizontal="center" vertical="center"/>
    </xf>
    <xf numFmtId="170" fontId="6" fillId="17" borderId="5" xfId="0" applyNumberFormat="1" applyFont="1" applyFill="1" applyBorder="1" applyAlignment="1">
      <alignment horizontal="center" vertical="center"/>
    </xf>
    <xf numFmtId="1" fontId="10" fillId="17" borderId="5" xfId="0" applyNumberFormat="1" applyFont="1" applyFill="1" applyBorder="1" applyAlignment="1">
      <alignment horizontal="center" vertical="center"/>
    </xf>
    <xf numFmtId="170" fontId="30" fillId="15" borderId="5" xfId="0" applyNumberFormat="1" applyFont="1" applyFill="1" applyBorder="1" applyAlignment="1">
      <alignment horizontal="center" vertical="center"/>
    </xf>
    <xf numFmtId="170" fontId="10" fillId="17" borderId="5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</cellXfs>
  <cellStyles count="11">
    <cellStyle name="Hiperlink" xfId="1" builtinId="8"/>
    <cellStyle name="Hiperlink 3" xfId="10" xr:uid="{CD482159-4417-489E-AD24-93D58CEB751B}"/>
    <cellStyle name="Hyperlink" xfId="3" xr:uid="{7993F7EE-710E-4ED3-BD8F-4DDB117EB205}"/>
    <cellStyle name="Moeda 2" xfId="7" xr:uid="{E424E279-12C9-46CF-A3CA-BC301C813447}"/>
    <cellStyle name="Normal" xfId="0" builtinId="0"/>
    <cellStyle name="Normal 12 2" xfId="5" xr:uid="{693D4D1B-0D9D-4219-8B58-E5F4F6F07B14}"/>
    <cellStyle name="Normal 15" xfId="2" xr:uid="{FB4E39C1-E6B2-4BD9-BC68-658747E9E9CC}"/>
    <cellStyle name="Normal 3 2 2 2" xfId="4" xr:uid="{98D84ED9-7E2D-4CFA-8E18-F1D18622C7EB}"/>
    <cellStyle name="Normal 7" xfId="8" xr:uid="{C43047C2-DF44-498A-B79E-1068ED3F6267}"/>
    <cellStyle name="Normal 9" xfId="6" xr:uid="{6831A07A-1804-41E7-9797-D0A9F56D1A1E}"/>
    <cellStyle name="Vírgula 2" xfId="9" xr:uid="{10725C99-9DEC-4C76-8D61-81A24D92ACE8}"/>
  </cellStyles>
  <dxfs count="0"/>
  <tableStyles count="0" defaultTableStyle="TableStyleMedium2" defaultPivotStyle="PivotStyleLight16"/>
  <colors>
    <mruColors>
      <color rgb="FF35BBB6"/>
      <color rgb="FF0D00FF"/>
      <color rgb="FFEAFE9A"/>
      <color rgb="FF5B8E01"/>
      <color rgb="FFDBFC67"/>
      <color rgb="FFF6FECC"/>
      <color rgb="FF93D302"/>
      <color rgb="FFD1F9FE"/>
      <color rgb="FFFEDADF"/>
      <color rgb="FFFFF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683846</xdr:colOff>
      <xdr:row>11</xdr:row>
      <xdr:rowOff>350064</xdr:rowOff>
    </xdr:from>
    <xdr:to>
      <xdr:col>19</xdr:col>
      <xdr:colOff>680589</xdr:colOff>
      <xdr:row>14</xdr:row>
      <xdr:rowOff>356414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8731E1E-CF5E-70E2-9221-0F4D6E3E7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77884" y="4461282"/>
          <a:ext cx="6159500" cy="1154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23</xdr:col>
      <xdr:colOff>152401</xdr:colOff>
      <xdr:row>19</xdr:row>
      <xdr:rowOff>6350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0D4BFFE-5685-5193-44C2-6B88B4274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0" y="6000750"/>
          <a:ext cx="6451600" cy="114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24</xdr:col>
      <xdr:colOff>990600</xdr:colOff>
      <xdr:row>16</xdr:row>
      <xdr:rowOff>6349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D7C690F-B617-ACBF-9E78-F57AF14D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20100" y="4857750"/>
          <a:ext cx="6451600" cy="114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73025</xdr:colOff>
      <xdr:row>9</xdr:row>
      <xdr:rowOff>13176</xdr:rowOff>
    </xdr:from>
    <xdr:ext cx="65" cy="172227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0130931-15B3-4064-945C-EAB4EBCD202C}"/>
            </a:ext>
          </a:extLst>
        </xdr:cNvPr>
        <xdr:cNvSpPr txBox="1"/>
      </xdr:nvSpPr>
      <xdr:spPr>
        <a:xfrm>
          <a:off x="8597900" y="82523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323726</xdr:colOff>
      <xdr:row>9</xdr:row>
      <xdr:rowOff>547842</xdr:rowOff>
    </xdr:from>
    <xdr:to>
      <xdr:col>43</xdr:col>
      <xdr:colOff>584076</xdr:colOff>
      <xdr:row>19</xdr:row>
      <xdr:rowOff>56154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73C71E-12E7-69D8-B08C-D414334EB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7157" y="3984313"/>
          <a:ext cx="9972115" cy="253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3</xdr:col>
      <xdr:colOff>1524000</xdr:colOff>
      <xdr:row>34</xdr:row>
      <xdr:rowOff>114300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2BD140B-8580-B718-8882-6119E06E1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250" y="7778750"/>
          <a:ext cx="4311650" cy="158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200025</xdr:colOff>
      <xdr:row>57</xdr:row>
      <xdr:rowOff>104775</xdr:rowOff>
    </xdr:from>
    <xdr:to>
      <xdr:col>15</xdr:col>
      <xdr:colOff>285749</xdr:colOff>
      <xdr:row>78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1A163F-125F-4AFD-94FE-571AE30D2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93075" y="10677525"/>
          <a:ext cx="5419725" cy="39338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141110</xdr:colOff>
      <xdr:row>15</xdr:row>
      <xdr:rowOff>112891</xdr:rowOff>
    </xdr:from>
    <xdr:to>
      <xdr:col>18</xdr:col>
      <xdr:colOff>423543</xdr:colOff>
      <xdr:row>39</xdr:row>
      <xdr:rowOff>4165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C0BF427-E156-43D7-BF6E-23E493B26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95999" y="2864558"/>
          <a:ext cx="5320100" cy="42939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804333</xdr:colOff>
      <xdr:row>16</xdr:row>
      <xdr:rowOff>28225</xdr:rowOff>
    </xdr:from>
    <xdr:to>
      <xdr:col>19</xdr:col>
      <xdr:colOff>479989</xdr:colOff>
      <xdr:row>39</xdr:row>
      <xdr:rowOff>102943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8286BD-C870-4F05-97DA-D97AE2B8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58111" y="2963336"/>
          <a:ext cx="5320100" cy="42939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nícius Ângelo de Carvalho Silva" id="{D6656621-E0BD-44E5-82C2-789DE5A03829}" userId="78d14eabaad62b29" providerId="Windows Live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6" dT="2025-07-09T02:08:28.61" personId="{D6656621-E0BD-44E5-82C2-789DE5A03829}" id="{860BA85A-01BF-48BC-8201-3E2246B622DF}">
    <text>existe tubos de diferentes diâmetros com tampões no carro, considerei os menores só pra dar uma diminuida kkkkk</text>
  </threadedComment>
  <threadedComment ref="F74" dT="2025-07-09T02:06:49.81" personId="{D6656621-E0BD-44E5-82C2-789DE5A03829}" id="{D5A27469-DE43-47E1-B3AC-B7C313C3E10F}">
    <text>considerei toda a área dos tampões, pode diminuir mt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694E-5107-445E-B8F3-E02E42D8F582}">
  <dimension ref="B1:V132"/>
  <sheetViews>
    <sheetView showGridLines="0" topLeftCell="B2" zoomScale="47" zoomScaleNormal="55" workbookViewId="0">
      <selection activeCell="M20" sqref="M20"/>
    </sheetView>
  </sheetViews>
  <sheetFormatPr defaultRowHeight="14.5"/>
  <cols>
    <col min="1" max="1" width="7.54296875" customWidth="1"/>
    <col min="2" max="2" width="34.08984375" bestFit="1" customWidth="1"/>
    <col min="3" max="3" width="47.54296875" bestFit="1" customWidth="1"/>
    <col min="4" max="4" width="18.90625" bestFit="1" customWidth="1"/>
    <col min="5" max="6" width="10.6328125" customWidth="1"/>
    <col min="7" max="7" width="23.6328125" customWidth="1"/>
    <col min="8" max="8" width="12.90625" bestFit="1" customWidth="1"/>
    <col min="9" max="9" width="32.453125" customWidth="1"/>
    <col min="10" max="10" width="27" bestFit="1" customWidth="1"/>
    <col min="11" max="11" width="74.54296875" bestFit="1" customWidth="1"/>
    <col min="12" max="12" width="13.7265625" customWidth="1"/>
    <col min="13" max="13" width="28.7265625" customWidth="1"/>
    <col min="14" max="18" width="17.6328125" customWidth="1"/>
    <col min="19" max="19" width="17.81640625" customWidth="1"/>
    <col min="20" max="20" width="15.7265625" customWidth="1"/>
    <col min="21" max="21" width="28" customWidth="1"/>
    <col min="22" max="22" width="30.7265625" customWidth="1"/>
    <col min="23" max="23" width="15.7265625" customWidth="1"/>
    <col min="24" max="24" width="31.7265625" customWidth="1"/>
    <col min="25" max="25" width="15.7265625" customWidth="1"/>
    <col min="26" max="26" width="29.54296875" customWidth="1"/>
    <col min="27" max="27" width="15.7265625" customWidth="1"/>
    <col min="28" max="28" width="27.54296875" customWidth="1"/>
    <col min="29" max="29" width="15.7265625" customWidth="1"/>
    <col min="30" max="30" width="28.1796875" customWidth="1"/>
    <col min="31" max="31" width="15.7265625" customWidth="1"/>
    <col min="32" max="32" width="28.26953125" customWidth="1"/>
    <col min="33" max="33" width="15.7265625" customWidth="1"/>
    <col min="34" max="34" width="27.1796875" customWidth="1"/>
    <col min="35" max="35" width="20.7265625" customWidth="1"/>
    <col min="36" max="36" width="28.7265625" customWidth="1"/>
    <col min="37" max="37" width="15.453125" customWidth="1"/>
    <col min="38" max="38" width="28.7265625" customWidth="1"/>
    <col min="39" max="39" width="15.81640625" customWidth="1"/>
    <col min="40" max="40" width="28.7265625" customWidth="1"/>
    <col min="41" max="41" width="19.81640625" customWidth="1"/>
    <col min="42" max="42" width="28.7265625" customWidth="1"/>
    <col min="43" max="43" width="16.7265625" customWidth="1"/>
    <col min="44" max="44" width="28.7265625" customWidth="1"/>
    <col min="45" max="45" width="18.1796875" customWidth="1"/>
    <col min="46" max="46" width="28.7265625" customWidth="1"/>
    <col min="47" max="47" width="17" customWidth="1"/>
    <col min="48" max="48" width="28.7265625" customWidth="1"/>
    <col min="49" max="49" width="15.7265625" customWidth="1"/>
    <col min="50" max="50" width="28.7265625" customWidth="1"/>
    <col min="51" max="51" width="15" customWidth="1"/>
    <col min="52" max="52" width="28.7265625" customWidth="1"/>
    <col min="53" max="53" width="16.1796875" customWidth="1"/>
    <col min="54" max="54" width="28.7265625" customWidth="1"/>
    <col min="55" max="55" width="16.1796875" customWidth="1"/>
    <col min="56" max="56" width="28.7265625" customWidth="1"/>
    <col min="57" max="57" width="19.26953125" customWidth="1"/>
    <col min="58" max="58" width="28.7265625" customWidth="1"/>
    <col min="59" max="59" width="17.81640625" customWidth="1"/>
    <col min="60" max="60" width="28.7265625" customWidth="1"/>
    <col min="61" max="61" width="18.26953125" customWidth="1"/>
    <col min="62" max="62" width="28.7265625" customWidth="1"/>
    <col min="63" max="63" width="23.26953125" customWidth="1"/>
    <col min="64" max="64" width="28.7265625" customWidth="1"/>
    <col min="65" max="65" width="17.1796875" customWidth="1"/>
    <col min="66" max="66" width="27.26953125" customWidth="1"/>
    <col min="67" max="67" width="16.54296875" customWidth="1"/>
    <col min="68" max="68" width="27.26953125" customWidth="1"/>
    <col min="69" max="69" width="11.453125" customWidth="1"/>
    <col min="70" max="70" width="27.26953125" customWidth="1"/>
    <col min="71" max="71" width="15.54296875" customWidth="1"/>
    <col min="72" max="72" width="27.26953125" customWidth="1"/>
    <col min="73" max="73" width="14.1796875" customWidth="1"/>
    <col min="74" max="74" width="27.26953125" customWidth="1"/>
    <col min="75" max="75" width="18.7265625" customWidth="1"/>
    <col min="76" max="76" width="27.26953125" customWidth="1"/>
    <col min="77" max="77" width="15.81640625" customWidth="1"/>
    <col min="78" max="78" width="27.26953125" customWidth="1"/>
    <col min="79" max="79" width="16.54296875" customWidth="1"/>
    <col min="80" max="80" width="27.26953125" customWidth="1"/>
    <col min="81" max="81" width="16.26953125" customWidth="1"/>
    <col min="82" max="82" width="27.26953125" customWidth="1"/>
    <col min="83" max="83" width="15.81640625" customWidth="1"/>
    <col min="84" max="84" width="27.26953125" customWidth="1"/>
    <col min="85" max="85" width="19" customWidth="1"/>
    <col min="86" max="86" width="27.26953125" customWidth="1"/>
    <col min="87" max="87" width="17.7265625" customWidth="1"/>
    <col min="88" max="88" width="27.26953125" customWidth="1"/>
    <col min="89" max="89" width="13" customWidth="1"/>
    <col min="90" max="90" width="27.26953125" customWidth="1"/>
    <col min="91" max="91" width="18.54296875" customWidth="1"/>
    <col min="92" max="92" width="27.26953125" customWidth="1"/>
    <col min="93" max="93" width="15" customWidth="1"/>
    <col min="94" max="94" width="27.26953125" customWidth="1"/>
    <col min="95" max="95" width="17.26953125" customWidth="1"/>
    <col min="96" max="96" width="27.26953125" customWidth="1"/>
    <col min="97" max="97" width="18.54296875" customWidth="1"/>
    <col min="98" max="98" width="27.26953125" customWidth="1"/>
    <col min="99" max="99" width="17.81640625" customWidth="1"/>
    <col min="100" max="106" width="27.26953125" customWidth="1"/>
    <col min="107" max="107" width="17.54296875" customWidth="1"/>
    <col min="108" max="108" width="27.26953125" customWidth="1"/>
    <col min="109" max="109" width="17.81640625" customWidth="1"/>
    <col min="110" max="110" width="27.26953125" customWidth="1"/>
    <col min="111" max="111" width="18.1796875" customWidth="1"/>
    <col min="112" max="112" width="27.26953125" customWidth="1"/>
    <col min="113" max="113" width="16.81640625" customWidth="1"/>
    <col min="114" max="114" width="27.26953125" customWidth="1"/>
    <col min="115" max="115" width="19" customWidth="1"/>
    <col min="116" max="116" width="27.453125" customWidth="1"/>
    <col min="117" max="117" width="16" customWidth="1"/>
    <col min="118" max="118" width="28" customWidth="1"/>
    <col min="119" max="119" width="10.7265625" customWidth="1"/>
    <col min="120" max="120" width="28.453125" customWidth="1"/>
    <col min="121" max="121" width="10.7265625" customWidth="1"/>
    <col min="122" max="122" width="28.453125" customWidth="1"/>
    <col min="123" max="123" width="10.7265625" customWidth="1"/>
    <col min="124" max="124" width="28.453125" customWidth="1"/>
    <col min="125" max="125" width="10.7265625" customWidth="1"/>
    <col min="126" max="126" width="28.453125" customWidth="1"/>
    <col min="127" max="127" width="10.7265625" customWidth="1"/>
    <col min="128" max="128" width="28.453125" customWidth="1"/>
    <col min="129" max="129" width="10.7265625" customWidth="1"/>
    <col min="130" max="130" width="28.453125" customWidth="1"/>
    <col min="131" max="131" width="10.7265625" customWidth="1"/>
    <col min="132" max="132" width="28.453125" customWidth="1"/>
    <col min="133" max="133" width="10.7265625" customWidth="1"/>
    <col min="134" max="134" width="28.453125" customWidth="1"/>
    <col min="135" max="135" width="10.7265625" customWidth="1"/>
    <col min="136" max="136" width="28.453125" customWidth="1"/>
    <col min="137" max="137" width="10.7265625" customWidth="1"/>
    <col min="138" max="138" width="28.453125" customWidth="1"/>
    <col min="139" max="139" width="10.7265625" customWidth="1"/>
    <col min="140" max="140" width="28.453125" customWidth="1"/>
    <col min="141" max="141" width="10.7265625" customWidth="1"/>
    <col min="142" max="142" width="28.453125" customWidth="1"/>
    <col min="143" max="143" width="10.7265625" customWidth="1"/>
    <col min="144" max="144" width="28.453125" customWidth="1"/>
    <col min="145" max="145" width="10.7265625" customWidth="1"/>
    <col min="146" max="146" width="28.453125" customWidth="1"/>
    <col min="147" max="147" width="10.7265625" customWidth="1"/>
    <col min="148" max="148" width="28.453125" customWidth="1"/>
    <col min="149" max="149" width="10.7265625" customWidth="1"/>
    <col min="150" max="150" width="28.453125" customWidth="1"/>
    <col min="151" max="151" width="10.7265625" customWidth="1"/>
    <col min="152" max="152" width="28.453125" customWidth="1"/>
    <col min="153" max="153" width="10.7265625" customWidth="1"/>
    <col min="154" max="154" width="28.453125" customWidth="1"/>
    <col min="155" max="155" width="13.1796875" customWidth="1"/>
    <col min="156" max="156" width="31.26953125" customWidth="1"/>
    <col min="157" max="157" width="10.453125" customWidth="1"/>
    <col min="158" max="158" width="29.7265625" customWidth="1"/>
    <col min="159" max="159" width="10.7265625" customWidth="1"/>
    <col min="160" max="160" width="29.7265625" customWidth="1"/>
    <col min="161" max="161" width="10.7265625" customWidth="1"/>
    <col min="162" max="162" width="29.7265625" customWidth="1"/>
    <col min="163" max="163" width="10.7265625" customWidth="1"/>
    <col min="164" max="164" width="29.7265625" customWidth="1"/>
    <col min="165" max="165" width="10.7265625" customWidth="1"/>
    <col min="166" max="166" width="29.7265625" customWidth="1"/>
    <col min="167" max="167" width="10.7265625" customWidth="1"/>
    <col min="168" max="168" width="29.7265625" customWidth="1"/>
    <col min="169" max="169" width="10.7265625" customWidth="1"/>
    <col min="170" max="170" width="29.7265625" customWidth="1"/>
    <col min="171" max="171" width="10.7265625" customWidth="1"/>
    <col min="172" max="172" width="29.7265625" customWidth="1"/>
    <col min="173" max="173" width="10.7265625" customWidth="1"/>
    <col min="174" max="174" width="29.7265625" customWidth="1"/>
    <col min="175" max="175" width="10.7265625" customWidth="1"/>
    <col min="176" max="176" width="29.7265625" customWidth="1"/>
    <col min="177" max="177" width="10.7265625" customWidth="1"/>
    <col min="178" max="178" width="29.7265625" customWidth="1"/>
    <col min="179" max="179" width="10.7265625" customWidth="1"/>
    <col min="180" max="180" width="29.7265625" customWidth="1"/>
    <col min="181" max="181" width="10.7265625" customWidth="1"/>
    <col min="182" max="182" width="29.7265625" customWidth="1"/>
    <col min="183" max="183" width="10.7265625" customWidth="1"/>
    <col min="184" max="184" width="29.7265625" customWidth="1"/>
    <col min="185" max="185" width="10.7265625" customWidth="1"/>
    <col min="186" max="186" width="29.7265625" customWidth="1"/>
  </cols>
  <sheetData>
    <row r="1" spans="2:22" ht="48.5" customHeight="1"/>
    <row r="2" spans="2:22" ht="31">
      <c r="E2" s="181" t="s">
        <v>11</v>
      </c>
      <c r="F2" s="181" t="s">
        <v>106</v>
      </c>
      <c r="G2" s="253" t="s">
        <v>352</v>
      </c>
      <c r="O2">
        <v>2</v>
      </c>
      <c r="P2">
        <v>3</v>
      </c>
      <c r="Q2">
        <v>5</v>
      </c>
    </row>
    <row r="3" spans="2:22" ht="18.5">
      <c r="C3" s="1"/>
      <c r="D3" s="181" t="s">
        <v>1</v>
      </c>
      <c r="E3" s="8">
        <v>30</v>
      </c>
      <c r="F3" s="8">
        <v>35</v>
      </c>
      <c r="G3" s="8">
        <v>35</v>
      </c>
      <c r="H3" s="182">
        <f>SUM(E3:G3)</f>
        <v>100</v>
      </c>
      <c r="J3" s="88" t="s">
        <v>121</v>
      </c>
      <c r="K3" s="88" t="str">
        <f>INDEX(B4:B29,MATCH(LARGE(H4:H29,1),H4:H29,0)) &amp; " " &amp; INDEX(C4:C29,MATCH(LARGE(H4:H29,1),H4:H29,0))</f>
        <v>Fibra de Carbono (Manual/Infusion) Autoclave</v>
      </c>
      <c r="L3" s="180">
        <f>LARGE(H4:H29,1)</f>
        <v>360.02042918454936</v>
      </c>
      <c r="O3">
        <v>2</v>
      </c>
      <c r="P3">
        <v>3</v>
      </c>
      <c r="Q3">
        <v>4</v>
      </c>
      <c r="R3">
        <f>SUMPRODUCT(O2:O3,P2:P3,Q2:Q3)</f>
        <v>54</v>
      </c>
    </row>
    <row r="4" spans="2:22" ht="30" customHeight="1">
      <c r="B4" s="87" t="s">
        <v>113</v>
      </c>
      <c r="C4" s="82" t="s">
        <v>114</v>
      </c>
      <c r="D4" s="81" t="s">
        <v>8</v>
      </c>
      <c r="E4" s="77">
        <f>(SMALL('Planilha de Dados'!D$3:D$28,1)/'Planilha de Dados'!D3)*4+1</f>
        <v>1.2737508239947264</v>
      </c>
      <c r="F4" s="77">
        <f>(SMALL('Planilha de Dados'!E$3:E$28,1)/'Planilha de Dados'!E3)*4+1</f>
        <v>1.5128205128205128</v>
      </c>
      <c r="G4" s="77">
        <f>('Planilha de Dados'!F3/LARGE('Planilha de Dados'!F$3:F$28,1))*4+1</f>
        <v>4.2</v>
      </c>
      <c r="H4" s="61">
        <f>SUM($E$3*E4,$F$3*F4,$G$3*G4)</f>
        <v>238.16124266855974</v>
      </c>
    </row>
    <row r="5" spans="2:22" ht="30" customHeight="1">
      <c r="B5" s="87" t="s">
        <v>113</v>
      </c>
      <c r="C5" s="82" t="s">
        <v>115</v>
      </c>
      <c r="D5" s="81" t="s">
        <v>8</v>
      </c>
      <c r="E5" s="77">
        <f>(SMALL('Planilha de Dados'!D$3:D$28,1)/'Planilha de Dados'!D4)*4+1</f>
        <v>1.2718987341772152</v>
      </c>
      <c r="F5" s="77">
        <f>(SMALL('Planilha de Dados'!E$3:E$28,1)/'Planilha de Dados'!E4)*4+1</f>
        <v>3.5641025641025643</v>
      </c>
      <c r="G5" s="77">
        <f>('Planilha de Dados'!F4/LARGE('Planilha de Dados'!F$3:F$28,1))*4+1</f>
        <v>4.2</v>
      </c>
      <c r="H5" s="61">
        <f t="shared" ref="H5:H29" si="0">SUM($E$3*E5,$F$3*F5,$G$3*G5)</f>
        <v>309.90055176890621</v>
      </c>
    </row>
    <row r="6" spans="2:22" ht="30" customHeight="1">
      <c r="B6" s="87" t="s">
        <v>113</v>
      </c>
      <c r="C6" s="82" t="s">
        <v>116</v>
      </c>
      <c r="D6" s="81" t="s">
        <v>8</v>
      </c>
      <c r="E6" s="77">
        <f>(SMALL('Planilha de Dados'!D$3:D$28,1)/'Planilha de Dados'!D5)*4+1</f>
        <v>1.2664898395721926</v>
      </c>
      <c r="F6" s="77">
        <f>(SMALL('Planilha de Dados'!E$3:E$28,1)/'Planilha de Dados'!E5)*4+1</f>
        <v>4.0769230769230766</v>
      </c>
      <c r="G6" s="77">
        <f>('Planilha de Dados'!F5/LARGE('Planilha de Dados'!F$3:F$28,1))*4+1</f>
        <v>4.2</v>
      </c>
      <c r="H6" s="61">
        <f t="shared" si="0"/>
        <v>327.68700287947343</v>
      </c>
      <c r="O6">
        <v>4</v>
      </c>
      <c r="P6">
        <v>6</v>
      </c>
    </row>
    <row r="7" spans="2:22" ht="30" customHeight="1">
      <c r="B7" s="87" t="s">
        <v>117</v>
      </c>
      <c r="C7" s="82" t="s">
        <v>114</v>
      </c>
      <c r="D7" s="81" t="s">
        <v>8</v>
      </c>
      <c r="E7" s="77">
        <f>(SMALL('Planilha de Dados'!D$3:D$28,1)/'Planilha de Dados'!D6)*4+1</f>
        <v>1.2746560846560846</v>
      </c>
      <c r="F7" s="77">
        <f>(SMALL('Planilha de Dados'!E$3:E$28,1)/'Planilha de Dados'!E6)*4+1</f>
        <v>1.6666666666666665</v>
      </c>
      <c r="G7" s="77">
        <f>('Planilha de Dados'!F6/LARGE('Planilha de Dados'!F$3:F$28,1))*4+1</f>
        <v>4.2</v>
      </c>
      <c r="H7" s="61">
        <f t="shared" si="0"/>
        <v>243.57301587301586</v>
      </c>
      <c r="J7" s="218" t="s">
        <v>318</v>
      </c>
      <c r="K7" s="218" t="str">
        <f>INDEX($B$4:$B$29,MATCH(L7,$H$4:$H$29,0)) &amp; " " &amp; INDEX($C$4:$C$29,MATCH(L7,$H$4:$H$29,0))</f>
        <v>Fibra de Carbono (Manual/Infusion) Autoclave</v>
      </c>
      <c r="L7" s="219">
        <f>LARGE(H4:H9,1)</f>
        <v>360.02042918454936</v>
      </c>
      <c r="O7">
        <v>2</v>
      </c>
      <c r="P7">
        <v>3</v>
      </c>
      <c r="R7">
        <f>SUMPRODUCT(O6:O7,P6:P7)</f>
        <v>30</v>
      </c>
    </row>
    <row r="8" spans="2:22" ht="30" customHeight="1">
      <c r="B8" s="87" t="s">
        <v>117</v>
      </c>
      <c r="C8" s="82" t="s">
        <v>115</v>
      </c>
      <c r="D8" s="81" t="s">
        <v>8</v>
      </c>
      <c r="E8" s="77">
        <f>(SMALL('Planilha de Dados'!D$3:D$28,1)/'Planilha de Dados'!D7)*4+1</f>
        <v>1.2727917670243047</v>
      </c>
      <c r="F8" s="77">
        <f>(SMALL('Planilha de Dados'!E$3:E$28,1)/'Planilha de Dados'!E7)*4+1</f>
        <v>4.3333333333333339</v>
      </c>
      <c r="G8" s="77">
        <f>('Planilha de Dados'!F7/LARGE('Planilha de Dados'!F$3:F$28,1))*4+1</f>
        <v>4.2</v>
      </c>
      <c r="H8" s="61">
        <f t="shared" si="0"/>
        <v>336.85041967739585</v>
      </c>
      <c r="J8" s="218" t="s">
        <v>319</v>
      </c>
      <c r="K8" s="218" t="str">
        <f>INDEX($B$4:$B$29,MATCH(L8,$H$4:$H$29,0)) &amp; " " &amp; INDEX($C$4:$C$29,MATCH(L8,$H$4:$H$29,0))</f>
        <v>Fibra de Vidro (Manual/Infusion) Autoclave</v>
      </c>
      <c r="L8" s="219">
        <f>LARGE(H10:H15,1)</f>
        <v>356.98402453660486</v>
      </c>
    </row>
    <row r="9" spans="2:22" ht="30" customHeight="1">
      <c r="B9" s="87" t="s">
        <v>117</v>
      </c>
      <c r="C9" s="82" t="s">
        <v>116</v>
      </c>
      <c r="D9" s="81" t="s">
        <v>8</v>
      </c>
      <c r="E9" s="77">
        <f>(SMALL('Planilha de Dados'!D$3:D$28,1)/'Planilha de Dados'!D8)*4+1</f>
        <v>1.2673476394849785</v>
      </c>
      <c r="F9" s="77">
        <f>(SMALL('Planilha de Dados'!E$3:E$28,1)/'Planilha de Dados'!E8)*4+1</f>
        <v>5</v>
      </c>
      <c r="G9" s="77">
        <f>('Planilha de Dados'!F8/LARGE('Planilha de Dados'!F$3:F$28,1))*4+1</f>
        <v>4.2</v>
      </c>
      <c r="H9" s="61">
        <f t="shared" si="0"/>
        <v>360.02042918454936</v>
      </c>
      <c r="J9" s="218" t="s">
        <v>320</v>
      </c>
      <c r="K9" s="218" t="str">
        <f>INDEX($B$4:$B$29,MATCH(L9,$H$4:$H$29,0)) &amp; " " &amp; INDEX($C$4:$C$29,MATCH(L9,$H$4:$H$29,0))</f>
        <v>Aramida(Manual/Infusion) Autoclave</v>
      </c>
      <c r="L9" s="219">
        <f>LARGE(H16:H21,1)</f>
        <v>330.09411381053314</v>
      </c>
      <c r="N9" s="226" t="s">
        <v>20</v>
      </c>
      <c r="O9" s="226"/>
      <c r="P9" s="226"/>
      <c r="Q9" s="226"/>
      <c r="R9" s="226"/>
      <c r="S9" s="226" t="s">
        <v>351</v>
      </c>
      <c r="T9" s="226"/>
      <c r="U9" s="226"/>
      <c r="V9" s="226"/>
    </row>
    <row r="10" spans="2:22" ht="30" customHeight="1">
      <c r="B10" s="87" t="s">
        <v>110</v>
      </c>
      <c r="C10" s="82" t="s">
        <v>114</v>
      </c>
      <c r="D10" s="81" t="s">
        <v>8</v>
      </c>
      <c r="E10" s="77">
        <f>(SMALL('Planilha de Dados'!D$3:D$28,1)/'Planilha de Dados'!D9)*4+1</f>
        <v>1.1685845737483085</v>
      </c>
      <c r="F10" s="77">
        <f>(SMALL('Planilha de Dados'!E$3:E$28,1)/'Planilha de Dados'!E9)*4+1</f>
        <v>1.5128205128205128</v>
      </c>
      <c r="G10" s="77">
        <f>('Planilha de Dados'!F9/LARGE('Planilha de Dados'!F$3:F$28,1))*4+1</f>
        <v>4.2</v>
      </c>
      <c r="H10" s="61">
        <f t="shared" si="0"/>
        <v>235.00625516116719</v>
      </c>
      <c r="J10" s="220" t="s">
        <v>338</v>
      </c>
      <c r="K10" s="218" t="str">
        <f>INDEX($B$4:$B$29,MATCH(L10,$H$4:$H$29,0)) &amp; " " &amp; INDEX($C$4:$C$29,MATCH(L10,$H$4:$H$29,0))</f>
        <v>Aluminio Chassi Corte a agua + solda</v>
      </c>
      <c r="L10" s="219">
        <f>H22</f>
        <v>304</v>
      </c>
      <c r="N10" s="221"/>
      <c r="O10" s="225" t="s">
        <v>11</v>
      </c>
      <c r="P10" s="225" t="s">
        <v>106</v>
      </c>
      <c r="Q10" s="225" t="s">
        <v>346</v>
      </c>
      <c r="R10" s="225" t="s">
        <v>347</v>
      </c>
      <c r="S10" s="221"/>
      <c r="T10" s="225" t="s">
        <v>11</v>
      </c>
      <c r="U10" s="225" t="s">
        <v>106</v>
      </c>
      <c r="V10" s="225" t="s">
        <v>347</v>
      </c>
    </row>
    <row r="11" spans="2:22" ht="30" customHeight="1">
      <c r="B11" s="87" t="s">
        <v>110</v>
      </c>
      <c r="C11" s="82" t="s">
        <v>115</v>
      </c>
      <c r="D11" s="81" t="s">
        <v>8</v>
      </c>
      <c r="E11" s="77">
        <f>(SMALL('Planilha de Dados'!D$3:D$28,1)/'Planilha de Dados'!D10)*4+1</f>
        <v>1.1678803395768764</v>
      </c>
      <c r="F11" s="77">
        <f>(SMALL('Planilha de Dados'!E$3:E$28,1)/'Planilha de Dados'!E10)*4+1</f>
        <v>3.5641025641025643</v>
      </c>
      <c r="G11" s="77">
        <f>('Planilha de Dados'!F10/LARGE('Planilha de Dados'!F$3:F$28,1))*4+1</f>
        <v>4.2</v>
      </c>
      <c r="H11" s="61">
        <f t="shared" si="0"/>
        <v>306.77999993089605</v>
      </c>
      <c r="J11" s="218" t="s">
        <v>313</v>
      </c>
      <c r="K11" s="218" t="str">
        <f>INDEX($B$4:$B$29,MATCH(L11,$H$4:$H$29,0)) &amp; " " &amp; INDEX($C$4:$C$29,MATCH(L11,$H$4:$H$29,0))</f>
        <v>Aço 1020 Tubing Lasercut + weld + weld point</v>
      </c>
      <c r="L11" s="219">
        <f t="shared" ref="L11:L17" si="1">H23</f>
        <v>355.65765124331921</v>
      </c>
      <c r="N11" s="222" t="s">
        <v>14</v>
      </c>
      <c r="O11" s="8">
        <v>30</v>
      </c>
      <c r="P11" s="8">
        <v>35</v>
      </c>
      <c r="Q11" s="8">
        <v>35</v>
      </c>
      <c r="R11" s="223">
        <f>SUM(O11:Q11)</f>
        <v>100</v>
      </c>
      <c r="S11" s="222" t="s">
        <v>14</v>
      </c>
      <c r="T11" s="8">
        <v>55</v>
      </c>
      <c r="U11" s="8">
        <v>45</v>
      </c>
      <c r="V11" s="223">
        <f>SUM(T11:U11)</f>
        <v>100</v>
      </c>
    </row>
    <row r="12" spans="2:22" ht="30" customHeight="1">
      <c r="B12" s="87" t="s">
        <v>110</v>
      </c>
      <c r="C12" s="82" t="s">
        <v>116</v>
      </c>
      <c r="D12" s="81" t="s">
        <v>8</v>
      </c>
      <c r="E12" s="77">
        <f>(SMALL('Planilha de Dados'!D$3:D$28,1)/'Planilha de Dados'!D11)*4+1</f>
        <v>1.1658025019962737</v>
      </c>
      <c r="F12" s="77">
        <f>(SMALL('Planilha de Dados'!E$3:E$28,1)/'Planilha de Dados'!E11)*4+1</f>
        <v>4.0769230769230766</v>
      </c>
      <c r="G12" s="77">
        <f>('Planilha de Dados'!F11/LARGE('Planilha de Dados'!F$3:F$28,1))*4+1</f>
        <v>4.2</v>
      </c>
      <c r="H12" s="61">
        <f t="shared" si="0"/>
        <v>324.66638275219589</v>
      </c>
      <c r="J12" s="218" t="s">
        <v>314</v>
      </c>
      <c r="K12" s="218" t="s">
        <v>340</v>
      </c>
      <c r="L12" s="219">
        <f t="shared" si="1"/>
        <v>355.65765124331921</v>
      </c>
    </row>
    <row r="13" spans="2:22" ht="30" customHeight="1">
      <c r="B13" s="87" t="s">
        <v>111</v>
      </c>
      <c r="C13" s="82" t="s">
        <v>114</v>
      </c>
      <c r="D13" s="81" t="s">
        <v>8</v>
      </c>
      <c r="E13" s="77">
        <f>(SMALL('Planilha de Dados'!D$3:D$28,1)/'Planilha de Dados'!D12)*4+1</f>
        <v>1.1689503661513425</v>
      </c>
      <c r="F13" s="77">
        <f>(SMALL('Planilha de Dados'!E$3:E$28,1)/'Planilha de Dados'!E12)*4+1</f>
        <v>1.6666666666666665</v>
      </c>
      <c r="G13" s="77">
        <f>('Planilha de Dados'!F12/LARGE('Planilha de Dados'!F$3:F$28,1))*4+1</f>
        <v>4.2</v>
      </c>
      <c r="H13" s="61">
        <f t="shared" si="0"/>
        <v>240.40184431787361</v>
      </c>
      <c r="J13" s="218" t="s">
        <v>315</v>
      </c>
      <c r="K13" s="218" t="s">
        <v>341</v>
      </c>
      <c r="L13" s="219">
        <f t="shared" si="1"/>
        <v>355.65765124331921</v>
      </c>
    </row>
    <row r="14" spans="2:22" ht="30" customHeight="1">
      <c r="B14" s="87" t="s">
        <v>111</v>
      </c>
      <c r="C14" s="82" t="s">
        <v>115</v>
      </c>
      <c r="D14" s="81" t="s">
        <v>8</v>
      </c>
      <c r="E14" s="77">
        <f>(SMALL('Planilha de Dados'!D$3:D$28,1)/'Planilha de Dados'!D13)*4+1</f>
        <v>1.1682430790006753</v>
      </c>
      <c r="F14" s="77">
        <f>(SMALL('Planilha de Dados'!E$3:E$28,1)/'Planilha de Dados'!E13)*4+1</f>
        <v>4.3333333333333339</v>
      </c>
      <c r="G14" s="77">
        <f>('Planilha de Dados'!F13/LARGE('Planilha de Dados'!F$3:F$28,1))*4+1</f>
        <v>4.2</v>
      </c>
      <c r="H14" s="61">
        <f t="shared" si="0"/>
        <v>333.71395903668696</v>
      </c>
      <c r="J14" s="218" t="s">
        <v>321</v>
      </c>
      <c r="K14" s="218" t="s">
        <v>342</v>
      </c>
      <c r="L14" s="219">
        <f t="shared" si="1"/>
        <v>355.65765124331921</v>
      </c>
    </row>
    <row r="15" spans="2:22" ht="30" customHeight="1">
      <c r="B15" s="87" t="s">
        <v>111</v>
      </c>
      <c r="C15" s="82" t="s">
        <v>116</v>
      </c>
      <c r="D15" s="81" t="s">
        <v>8</v>
      </c>
      <c r="E15" s="77">
        <f>(SMALL('Planilha de Dados'!D$3:D$28,1)/'Planilha de Dados'!D14)*4+1</f>
        <v>1.1661341512201626</v>
      </c>
      <c r="F15" s="77">
        <f>(SMALL('Planilha de Dados'!E$3:E$28,1)/'Planilha de Dados'!E14)*4+1</f>
        <v>5</v>
      </c>
      <c r="G15" s="77">
        <f>('Planilha de Dados'!F14/LARGE('Planilha de Dados'!F$3:F$28,1))*4+1</f>
        <v>4.2</v>
      </c>
      <c r="H15" s="61">
        <f t="shared" si="0"/>
        <v>356.98402453660486</v>
      </c>
      <c r="J15" s="218" t="s">
        <v>316</v>
      </c>
      <c r="K15" s="218" t="str">
        <f>INDEX($B$4:$B$29,MATCH(L15,$H$4:$H$29,0)) &amp; " " &amp; INDEX($C$4:$C$29,MATCH(L15,$H$4:$H$29,0))</f>
        <v>Titanio Tubing Lasercut + weld + weld point</v>
      </c>
      <c r="L15" s="219">
        <f t="shared" si="1"/>
        <v>220.89186402657731</v>
      </c>
    </row>
    <row r="16" spans="2:22" ht="30" customHeight="1">
      <c r="B16" s="87" t="s">
        <v>119</v>
      </c>
      <c r="C16" s="82" t="s">
        <v>114</v>
      </c>
      <c r="D16" s="81" t="s">
        <v>8</v>
      </c>
      <c r="E16" s="77">
        <f>(SMALL('Planilha de Dados'!D$3:D$28,1)/'Planilha de Dados'!D15)*4+1</f>
        <v>1.2068127490039839</v>
      </c>
      <c r="F16" s="77">
        <f>(SMALL('Planilha de Dados'!E$3:E$28,1)/'Planilha de Dados'!E15)*4+1</f>
        <v>1.5128205128205128</v>
      </c>
      <c r="G16" s="77">
        <f>('Planilha de Dados'!F15/LARGE('Planilha de Dados'!F$3:F$28,1))*4+1</f>
        <v>3.4</v>
      </c>
      <c r="H16" s="61">
        <f t="shared" si="0"/>
        <v>208.15310041883748</v>
      </c>
      <c r="J16" s="218" t="s">
        <v>317</v>
      </c>
      <c r="K16" s="218" t="str">
        <f>INDEX($B$4:$B$29,MATCH(L16,$H$4:$H$29,0)) &amp; " " &amp; INDEX($C$4:$C$29,MATCH(L16,$H$4:$H$29,0))</f>
        <v>Alumínio Tubing Lasercut + weld + weld point</v>
      </c>
      <c r="L16" s="219">
        <f t="shared" si="1"/>
        <v>262.05206055396991</v>
      </c>
    </row>
    <row r="17" spans="2:12" ht="30" customHeight="1">
      <c r="B17" s="87" t="s">
        <v>119</v>
      </c>
      <c r="C17" s="82" t="s">
        <v>115</v>
      </c>
      <c r="D17" s="81" t="s">
        <v>8</v>
      </c>
      <c r="E17" s="77">
        <f>(SMALL('Planilha de Dados'!D$3:D$28,1)/'Planilha de Dados'!D16)*4+1</f>
        <v>1.2057539223781999</v>
      </c>
      <c r="F17" s="77">
        <f>(SMALL('Planilha de Dados'!E$3:E$28,1)/'Planilha de Dados'!E16)*4+1</f>
        <v>3.5641025641025643</v>
      </c>
      <c r="G17" s="77">
        <f>('Planilha de Dados'!F16/LARGE('Planilha de Dados'!F$3:F$28,1))*4+1</f>
        <v>3.4</v>
      </c>
      <c r="H17" s="61">
        <f t="shared" si="0"/>
        <v>279.91620741493574</v>
      </c>
      <c r="J17" s="218" t="s">
        <v>325</v>
      </c>
      <c r="K17" s="218" t="str">
        <f>INDEX($B$4:$B$29,MATCH(L17,$H$4:$H$29,0)) &amp; " " &amp; INDEX($C$4:$C$29,MATCH(L17,$H$4:$H$29,0))</f>
        <v>Aço inox Tubing Lasercut + weld + weld point</v>
      </c>
      <c r="L17" s="219">
        <f t="shared" si="1"/>
        <v>293.05357809292775</v>
      </c>
    </row>
    <row r="18" spans="2:12" ht="30" customHeight="1">
      <c r="B18" s="87" t="s">
        <v>119</v>
      </c>
      <c r="C18" s="82" t="s">
        <v>116</v>
      </c>
      <c r="D18" s="81" t="s">
        <v>8</v>
      </c>
      <c r="E18" s="77">
        <f>(SMALL('Planilha de Dados'!D$3:D$28,1)/'Planilha de Dados'!D17)*4+1</f>
        <v>1.2026415094339622</v>
      </c>
      <c r="F18" s="77">
        <f>(SMALL('Planilha de Dados'!E$3:E$28,1)/'Planilha de Dados'!E17)*4+1</f>
        <v>4.0769230769230766</v>
      </c>
      <c r="G18" s="77">
        <f>('Planilha de Dados'!F17/LARGE('Planilha de Dados'!F$3:F$28,1))*4+1</f>
        <v>3.4</v>
      </c>
      <c r="H18" s="61">
        <f t="shared" si="0"/>
        <v>297.77155297532653</v>
      </c>
    </row>
    <row r="19" spans="2:12" ht="30" customHeight="1">
      <c r="B19" s="87" t="s">
        <v>120</v>
      </c>
      <c r="C19" s="82" t="s">
        <v>114</v>
      </c>
      <c r="D19" s="81" t="s">
        <v>8</v>
      </c>
      <c r="E19" s="77">
        <f>(SMALL('Planilha de Dados'!D$3:D$28,1)/'Planilha de Dados'!D18)*4+1</f>
        <v>1.2073290064902646</v>
      </c>
      <c r="F19" s="77">
        <f>(SMALL('Planilha de Dados'!E$3:E$28,1)/'Planilha de Dados'!E18)*4+1</f>
        <v>1.6666666666666665</v>
      </c>
      <c r="G19" s="77">
        <f>('Planilha de Dados'!F18/LARGE('Planilha de Dados'!F$3:F$28,1))*4+1</f>
        <v>3.4</v>
      </c>
      <c r="H19" s="61">
        <f t="shared" si="0"/>
        <v>213.55320352804125</v>
      </c>
    </row>
    <row r="20" spans="2:12" ht="30" customHeight="1">
      <c r="B20" s="87" t="s">
        <v>120</v>
      </c>
      <c r="C20" s="82" t="s">
        <v>115</v>
      </c>
      <c r="D20" s="81" t="s">
        <v>8</v>
      </c>
      <c r="E20" s="77">
        <f>(SMALL('Planilha de Dados'!D$3:D$28,1)/'Planilha de Dados'!D19)*4+1</f>
        <v>1.2062649006622517</v>
      </c>
      <c r="F20" s="77">
        <f>(SMALL('Planilha de Dados'!E$3:E$28,1)/'Planilha de Dados'!E19)*4+1</f>
        <v>4.3333333333333339</v>
      </c>
      <c r="G20" s="77">
        <f>('Planilha de Dados'!F19/LARGE('Planilha de Dados'!F$3:F$28,1))*4+1</f>
        <v>3.4</v>
      </c>
      <c r="H20" s="61">
        <f t="shared" si="0"/>
        <v>306.85461368653421</v>
      </c>
    </row>
    <row r="21" spans="2:12" ht="30" customHeight="1">
      <c r="B21" s="87" t="s">
        <v>120</v>
      </c>
      <c r="C21" s="82" t="s">
        <v>116</v>
      </c>
      <c r="D21" s="224" t="s">
        <v>8</v>
      </c>
      <c r="E21" s="77">
        <f>(SMALL('Planilha de Dados'!D$3:D$28,1)/'Planilha de Dados'!D20)*4+1</f>
        <v>1.2031371270177726</v>
      </c>
      <c r="F21" s="77">
        <f>(SMALL('Planilha de Dados'!E$3:E$28,1)/'Planilha de Dados'!E20)*4+1</f>
        <v>5</v>
      </c>
      <c r="G21" s="77">
        <f>('Planilha de Dados'!F20/LARGE('Planilha de Dados'!F$3:F$28,1))*4+1</f>
        <v>3.4</v>
      </c>
      <c r="H21" s="61">
        <f t="shared" si="0"/>
        <v>330.09411381053314</v>
      </c>
    </row>
    <row r="22" spans="2:12" ht="30" customHeight="1">
      <c r="B22" s="87" t="s">
        <v>339</v>
      </c>
      <c r="C22" s="82" t="s">
        <v>337</v>
      </c>
      <c r="D22" s="81" t="s">
        <v>8</v>
      </c>
      <c r="E22" s="77">
        <f>(SMALL('Planilha de Dados'!D$3:D$28,1)/'Planilha de Dados'!D21)*4+1</f>
        <v>5</v>
      </c>
      <c r="F22" s="77">
        <f>(SMALL('Planilha de Dados'!E$3:E$28,1)/'Planilha de Dados'!E21)*4+1</f>
        <v>1.8</v>
      </c>
      <c r="G22" s="77">
        <f>('Planilha de Dados'!F21/LARGE('Planilha de Dados'!F$3:F$28,1))*4+1</f>
        <v>2.6</v>
      </c>
      <c r="H22" s="61">
        <f t="shared" si="0"/>
        <v>304</v>
      </c>
    </row>
    <row r="23" spans="2:12" ht="30" customHeight="1">
      <c r="B23" s="87" t="s">
        <v>27</v>
      </c>
      <c r="C23" s="82" t="s">
        <v>134</v>
      </c>
      <c r="D23" s="81" t="s">
        <v>8</v>
      </c>
      <c r="E23" s="77">
        <f>(SMALL('Planilha de Dados'!D$3:D$28,1)/'Planilha de Dados'!D22)*4+1</f>
        <v>4.1260883747773072</v>
      </c>
      <c r="F23" s="77">
        <f>(SMALL('Planilha de Dados'!E$3:E$28,1)/'Planilha de Dados'!E22)*4+1</f>
        <v>1.625</v>
      </c>
      <c r="G23" s="77">
        <f>('Planilha de Dados'!F22/LARGE('Planilha de Dados'!F$3:F$28,1))*4+1</f>
        <v>5</v>
      </c>
      <c r="H23" s="61">
        <f t="shared" si="0"/>
        <v>355.65765124331921</v>
      </c>
    </row>
    <row r="24" spans="2:12" ht="30" customHeight="1">
      <c r="B24" s="87" t="s">
        <v>126</v>
      </c>
      <c r="C24" s="82" t="s">
        <v>134</v>
      </c>
      <c r="D24" s="81" t="s">
        <v>8</v>
      </c>
      <c r="E24" s="77">
        <f>(SMALL('Planilha de Dados'!D$3:D$28,1)/'Planilha de Dados'!D23)*4+1</f>
        <v>4.1260883747773072</v>
      </c>
      <c r="F24" s="77">
        <f>(SMALL('Planilha de Dados'!E$3:E$28,1)/'Planilha de Dados'!E23)*4+1</f>
        <v>1.625</v>
      </c>
      <c r="G24" s="77">
        <f>('Planilha de Dados'!F23/LARGE('Planilha de Dados'!F$3:F$28,1))*4+1</f>
        <v>5</v>
      </c>
      <c r="H24" s="61">
        <f t="shared" si="0"/>
        <v>355.65765124331921</v>
      </c>
    </row>
    <row r="25" spans="2:12" ht="30" customHeight="1">
      <c r="B25" s="87" t="s">
        <v>127</v>
      </c>
      <c r="C25" s="82" t="s">
        <v>134</v>
      </c>
      <c r="D25" s="81" t="s">
        <v>8</v>
      </c>
      <c r="E25" s="77">
        <f>(SMALL('Planilha de Dados'!D$3:D$28,1)/'Planilha de Dados'!D24)*4+1</f>
        <v>4.1260883747773072</v>
      </c>
      <c r="F25" s="77">
        <f>(SMALL('Planilha de Dados'!E$3:E$28,1)/'Planilha de Dados'!E24)*4+1</f>
        <v>1.625</v>
      </c>
      <c r="G25" s="77">
        <f>('Planilha de Dados'!F24/LARGE('Planilha de Dados'!F$3:F$28,1))*4+1</f>
        <v>5</v>
      </c>
      <c r="H25" s="61">
        <f t="shared" si="0"/>
        <v>355.65765124331921</v>
      </c>
    </row>
    <row r="26" spans="2:12" ht="30" customHeight="1">
      <c r="B26" s="87" t="s">
        <v>128</v>
      </c>
      <c r="C26" s="82" t="s">
        <v>134</v>
      </c>
      <c r="D26" s="81" t="s">
        <v>8</v>
      </c>
      <c r="E26" s="77">
        <f>(SMALL('Planilha de Dados'!D$3:D$28,1)/'Planilha de Dados'!D25)*4+1</f>
        <v>4.1260883747773072</v>
      </c>
      <c r="F26" s="77">
        <f>(SMALL('Planilha de Dados'!E$3:E$28,1)/'Planilha de Dados'!E25)*4+1</f>
        <v>1.625</v>
      </c>
      <c r="G26" s="77">
        <f>('Planilha de Dados'!F25/LARGE('Planilha de Dados'!F$3:F$28,1))*4+1</f>
        <v>5</v>
      </c>
      <c r="H26" s="61">
        <f t="shared" si="0"/>
        <v>355.65765124331921</v>
      </c>
    </row>
    <row r="27" spans="2:12" ht="30" customHeight="1">
      <c r="B27" s="87" t="s">
        <v>129</v>
      </c>
      <c r="C27" s="82" t="s">
        <v>134</v>
      </c>
      <c r="D27" s="81" t="s">
        <v>8</v>
      </c>
      <c r="E27" s="77">
        <f>(SMALL('Planilha de Dados'!D$3:D$28,1)/'Planilha de Dados'!D26)*4+1</f>
        <v>3.599941566843357</v>
      </c>
      <c r="F27" s="77">
        <f>(SMALL('Planilha de Dados'!E$3:E$28,1)/'Planilha de Dados'!E26)*4+1</f>
        <v>1.425531914893617</v>
      </c>
      <c r="G27" s="77">
        <f>('Planilha de Dados'!F26/LARGE('Planilha de Dados'!F$3:F$28,1))*4+1</f>
        <v>1.8</v>
      </c>
      <c r="H27" s="61">
        <f t="shared" si="0"/>
        <v>220.89186402657731</v>
      </c>
    </row>
    <row r="28" spans="2:12" ht="30" customHeight="1">
      <c r="B28" s="87" t="s">
        <v>17</v>
      </c>
      <c r="C28" s="82" t="s">
        <v>134</v>
      </c>
      <c r="D28" s="81" t="s">
        <v>8</v>
      </c>
      <c r="E28" s="77">
        <f>(SMALL('Planilha de Dados'!D$3:D$28,1)/'Planilha de Dados'!D27)*4+1</f>
        <v>3.9367780868417328</v>
      </c>
      <c r="F28" s="77">
        <f>(SMALL('Planilha de Dados'!E$3:E$28,1)/'Planilha de Dados'!E27)*4+1</f>
        <v>1.5128205128205128</v>
      </c>
      <c r="G28" s="77">
        <f>('Planilha de Dados'!F27/LARGE('Planilha de Dados'!F$3:F$28,1))*4+1</f>
        <v>2.6</v>
      </c>
      <c r="H28" s="61">
        <f t="shared" si="0"/>
        <v>262.05206055396991</v>
      </c>
    </row>
    <row r="29" spans="2:12" ht="15.5">
      <c r="B29" s="87" t="s">
        <v>312</v>
      </c>
      <c r="C29" s="82" t="s">
        <v>134</v>
      </c>
      <c r="D29" s="81" t="s">
        <v>8</v>
      </c>
      <c r="E29" s="77">
        <f>(SMALL('Planilha de Dados'!D$3:D$28,1)/'Planilha de Dados'!D28)*4+1</f>
        <v>3.9059526030975924</v>
      </c>
      <c r="F29" s="77">
        <f>(SMALL('Planilha de Dados'!E$3:E$28,1)/'Planilha de Dados'!E28)*4+1</f>
        <v>1.625</v>
      </c>
      <c r="G29" s="77">
        <f>('Planilha de Dados'!F28/LARGE('Planilha de Dados'!F$3:F$28,1))*4+1</f>
        <v>3.4</v>
      </c>
      <c r="H29" s="61">
        <f t="shared" si="0"/>
        <v>293.05357809292775</v>
      </c>
    </row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spans="2:2" ht="14.5" customHeight="1"/>
    <row r="114" spans="2:2" ht="14.5" customHeight="1">
      <c r="B114" s="83"/>
    </row>
    <row r="115" spans="2:2" ht="14.5" customHeight="1">
      <c r="B115" s="189"/>
    </row>
    <row r="116" spans="2:2" ht="14.5" customHeight="1">
      <c r="B116" s="189"/>
    </row>
    <row r="117" spans="2:2" ht="14.5" customHeight="1"/>
    <row r="118" spans="2:2" ht="14.5" customHeight="1"/>
    <row r="119" spans="2:2" ht="14.5" customHeight="1"/>
    <row r="120" spans="2:2" ht="14.5" customHeight="1"/>
    <row r="121" spans="2:2" ht="14.5" customHeight="1"/>
    <row r="122" spans="2:2" ht="14.5" customHeight="1"/>
    <row r="123" spans="2:2" ht="14.5" customHeight="1"/>
    <row r="124" spans="2:2" ht="14.5" customHeight="1"/>
    <row r="125" spans="2:2" ht="14.5" customHeight="1"/>
    <row r="126" spans="2:2" ht="14.5" customHeight="1"/>
    <row r="127" spans="2:2" ht="14.5" customHeight="1"/>
    <row r="128" spans="2:2" ht="14.5" customHeight="1"/>
    <row r="129" ht="14.5" customHeight="1"/>
    <row r="130" ht="14.5" customHeight="1"/>
    <row r="131" ht="14.5" customHeight="1"/>
    <row r="132" ht="14.5" customHeight="1"/>
  </sheetData>
  <mergeCells count="3">
    <mergeCell ref="B115:B116"/>
    <mergeCell ref="N9:R9"/>
    <mergeCell ref="S9:V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11C5-354C-4F8D-848C-0C98A5CB60E3}">
  <dimension ref="A1:AQ56"/>
  <sheetViews>
    <sheetView showGridLines="0" zoomScale="51" zoomScaleNormal="40" workbookViewId="0">
      <selection activeCell="AF6" sqref="AF6"/>
    </sheetView>
  </sheetViews>
  <sheetFormatPr defaultRowHeight="14.5"/>
  <cols>
    <col min="1" max="1" width="17.81640625" customWidth="1"/>
    <col min="2" max="2" width="31.26953125" bestFit="1" customWidth="1"/>
    <col min="3" max="3" width="24.1796875" bestFit="1" customWidth="1"/>
    <col min="4" max="4" width="19.453125" bestFit="1" customWidth="1"/>
    <col min="5" max="5" width="11" bestFit="1" customWidth="1"/>
    <col min="6" max="6" width="17.6328125" bestFit="1" customWidth="1"/>
    <col min="7" max="7" width="25.36328125" bestFit="1" customWidth="1"/>
    <col min="8" max="8" width="31.26953125" bestFit="1" customWidth="1"/>
    <col min="9" max="9" width="24" bestFit="1" customWidth="1"/>
    <col min="10" max="10" width="15.7265625" customWidth="1"/>
    <col min="11" max="11" width="13.26953125" customWidth="1"/>
    <col min="12" max="12" width="11" customWidth="1"/>
    <col min="13" max="13" width="15.7265625" customWidth="1"/>
    <col min="14" max="17" width="10.7265625" customWidth="1"/>
    <col min="18" max="18" width="12.54296875" customWidth="1"/>
    <col min="19" max="19" width="10.54296875" customWidth="1"/>
    <col min="20" max="20" width="15" customWidth="1"/>
    <col min="21" max="21" width="11.81640625" customWidth="1"/>
    <col min="22" max="22" width="10.54296875" customWidth="1"/>
    <col min="23" max="23" width="15.54296875" customWidth="1"/>
    <col min="24" max="24" width="13.453125" customWidth="1"/>
    <col min="25" max="25" width="16.6328125" bestFit="1" customWidth="1"/>
    <col min="26" max="26" width="17.08984375" bestFit="1" customWidth="1"/>
    <col min="27" max="27" width="16.6328125" bestFit="1" customWidth="1"/>
    <col min="28" max="28" width="16.1796875" bestFit="1" customWidth="1"/>
    <col min="29" max="29" width="11.7265625" bestFit="1" customWidth="1"/>
    <col min="30" max="30" width="14.81640625" bestFit="1" customWidth="1"/>
    <col min="31" max="31" width="15.81640625" bestFit="1" customWidth="1"/>
    <col min="32" max="32" width="12" customWidth="1"/>
    <col min="33" max="33" width="12.7265625" customWidth="1"/>
    <col min="35" max="35" width="12.26953125" customWidth="1"/>
    <col min="36" max="36" width="10.81640625" customWidth="1"/>
    <col min="38" max="38" width="14.26953125" customWidth="1"/>
    <col min="39" max="39" width="10.1796875" customWidth="1"/>
    <col min="40" max="40" width="10.81640625" customWidth="1"/>
    <col min="41" max="41" width="12.1796875" customWidth="1"/>
    <col min="42" max="42" width="11.54296875" customWidth="1"/>
    <col min="44" max="44" width="13.453125" customWidth="1"/>
    <col min="45" max="45" width="15.7265625" customWidth="1"/>
    <col min="46" max="46" width="13.453125" customWidth="1"/>
    <col min="47" max="47" width="12.1796875" customWidth="1"/>
    <col min="48" max="48" width="12" customWidth="1"/>
    <col min="50" max="50" width="10.81640625" customWidth="1"/>
    <col min="51" max="51" width="14.54296875" customWidth="1"/>
    <col min="52" max="52" width="10.453125" customWidth="1"/>
    <col min="53" max="53" width="10.1796875" customWidth="1"/>
    <col min="54" max="54" width="10.453125" bestFit="1" customWidth="1"/>
    <col min="55" max="55" width="9.6328125" bestFit="1" customWidth="1"/>
  </cols>
  <sheetData>
    <row r="1" spans="1:43"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</row>
    <row r="2" spans="1:43" ht="30" customHeight="1">
      <c r="C2" s="12" t="s">
        <v>23</v>
      </c>
      <c r="D2" s="12" t="s">
        <v>11</v>
      </c>
      <c r="E2" s="12" t="s">
        <v>106</v>
      </c>
      <c r="F2" s="12" t="s">
        <v>346</v>
      </c>
      <c r="H2" s="12" t="s">
        <v>23</v>
      </c>
      <c r="I2" s="12" t="s">
        <v>24</v>
      </c>
      <c r="J2" s="190" t="s">
        <v>15</v>
      </c>
      <c r="K2" s="190"/>
      <c r="L2" s="190" t="s">
        <v>16</v>
      </c>
      <c r="M2" s="190"/>
      <c r="N2" s="206" t="s">
        <v>102</v>
      </c>
      <c r="O2" s="207"/>
      <c r="P2" s="190" t="s">
        <v>17</v>
      </c>
      <c r="Q2" s="190"/>
      <c r="R2" s="190" t="s">
        <v>122</v>
      </c>
      <c r="S2" s="190"/>
      <c r="T2" s="190" t="s">
        <v>123</v>
      </c>
      <c r="U2" s="190"/>
      <c r="V2" s="190" t="s">
        <v>124</v>
      </c>
      <c r="W2" s="190"/>
      <c r="X2" s="190" t="s">
        <v>125</v>
      </c>
      <c r="Y2" s="190"/>
      <c r="Z2" s="190" t="s">
        <v>18</v>
      </c>
      <c r="AA2" s="190"/>
      <c r="AB2" s="190" t="s">
        <v>17</v>
      </c>
      <c r="AC2" s="190"/>
      <c r="AD2" s="190" t="s">
        <v>323</v>
      </c>
      <c r="AE2" s="190"/>
    </row>
    <row r="3" spans="1:43" ht="30" customHeight="1">
      <c r="A3" s="202" t="s">
        <v>335</v>
      </c>
      <c r="B3" s="203" t="s">
        <v>113</v>
      </c>
      <c r="C3" s="78" t="s">
        <v>109</v>
      </c>
      <c r="D3" s="179">
        <v>4551</v>
      </c>
      <c r="E3" s="80">
        <v>2340</v>
      </c>
      <c r="F3" s="80">
        <v>4</v>
      </c>
      <c r="H3" s="12" t="s">
        <v>136</v>
      </c>
      <c r="I3" s="13" t="s">
        <v>137</v>
      </c>
      <c r="J3" s="194">
        <v>240</v>
      </c>
      <c r="K3" s="194"/>
      <c r="L3" s="194">
        <v>70</v>
      </c>
      <c r="M3" s="194"/>
      <c r="N3" s="194">
        <v>117</v>
      </c>
      <c r="O3" s="194"/>
      <c r="P3" s="194">
        <v>114</v>
      </c>
      <c r="Q3" s="194"/>
      <c r="R3" s="194">
        <v>200</v>
      </c>
      <c r="S3" s="194"/>
      <c r="T3" s="194">
        <v>205</v>
      </c>
      <c r="U3" s="194"/>
      <c r="V3" s="194">
        <v>205</v>
      </c>
      <c r="W3" s="194"/>
      <c r="X3" s="194">
        <v>200</v>
      </c>
      <c r="Y3" s="194"/>
      <c r="Z3" s="194">
        <v>105</v>
      </c>
      <c r="AA3" s="194"/>
      <c r="AB3" s="194">
        <v>114</v>
      </c>
      <c r="AC3" s="194"/>
      <c r="AD3" s="194">
        <v>193</v>
      </c>
      <c r="AE3" s="194"/>
    </row>
    <row r="4" spans="1:43" ht="30" customHeight="1">
      <c r="A4" s="202"/>
      <c r="B4" s="204"/>
      <c r="C4" s="78" t="s">
        <v>107</v>
      </c>
      <c r="D4" s="179">
        <v>4582</v>
      </c>
      <c r="E4" s="80">
        <f>E3/5</f>
        <v>468</v>
      </c>
      <c r="F4" s="80">
        <v>4</v>
      </c>
      <c r="H4" s="12" t="s">
        <v>10</v>
      </c>
      <c r="I4" s="13" t="s">
        <v>29</v>
      </c>
      <c r="J4" s="194">
        <f>0.8*J5</f>
        <v>880</v>
      </c>
      <c r="K4" s="194"/>
      <c r="L4" s="194">
        <f>0.8*L5</f>
        <v>268</v>
      </c>
      <c r="M4" s="194"/>
      <c r="N4" s="194">
        <v>783</v>
      </c>
      <c r="O4" s="194"/>
      <c r="P4" s="194">
        <v>170</v>
      </c>
      <c r="Q4" s="194"/>
      <c r="R4" s="194">
        <v>275</v>
      </c>
      <c r="S4" s="194"/>
      <c r="T4" s="194">
        <v>600</v>
      </c>
      <c r="U4" s="194"/>
      <c r="V4" s="194">
        <v>480</v>
      </c>
      <c r="W4" s="194"/>
      <c r="X4" s="194">
        <v>240</v>
      </c>
      <c r="Y4" s="194"/>
      <c r="Z4" s="194">
        <v>510</v>
      </c>
      <c r="AA4" s="194"/>
      <c r="AB4" s="194">
        <v>170</v>
      </c>
      <c r="AC4" s="194"/>
      <c r="AD4" s="194">
        <v>240</v>
      </c>
      <c r="AE4" s="194"/>
    </row>
    <row r="5" spans="1:43" ht="30" customHeight="1">
      <c r="A5" s="202"/>
      <c r="B5" s="205"/>
      <c r="C5" s="78" t="s">
        <v>108</v>
      </c>
      <c r="D5" s="179">
        <v>4675</v>
      </c>
      <c r="E5" s="80">
        <f>E3/6</f>
        <v>390</v>
      </c>
      <c r="F5" s="80">
        <v>4</v>
      </c>
      <c r="H5" s="12" t="s">
        <v>12</v>
      </c>
      <c r="I5" s="13" t="s">
        <v>25</v>
      </c>
      <c r="J5" s="194">
        <v>1100</v>
      </c>
      <c r="K5" s="194"/>
      <c r="L5" s="194">
        <v>335</v>
      </c>
      <c r="M5" s="194"/>
      <c r="N5" s="194">
        <v>972</v>
      </c>
      <c r="O5" s="194"/>
      <c r="P5" s="194">
        <v>460</v>
      </c>
      <c r="Q5" s="194"/>
      <c r="R5" s="194">
        <v>350</v>
      </c>
      <c r="S5" s="194"/>
      <c r="T5" s="194">
        <v>470</v>
      </c>
      <c r="U5" s="194"/>
      <c r="V5" s="194">
        <v>435</v>
      </c>
      <c r="W5" s="194"/>
      <c r="X5" s="194">
        <v>200</v>
      </c>
      <c r="Y5" s="194"/>
      <c r="Z5" s="194">
        <v>940</v>
      </c>
      <c r="AA5" s="194"/>
      <c r="AB5" s="194">
        <v>460</v>
      </c>
      <c r="AC5" s="194"/>
      <c r="AD5" s="194">
        <v>215</v>
      </c>
      <c r="AE5" s="194"/>
    </row>
    <row r="6" spans="1:43" ht="30" customHeight="1">
      <c r="A6" s="202"/>
      <c r="B6" s="203" t="s">
        <v>117</v>
      </c>
      <c r="C6" s="78" t="s">
        <v>109</v>
      </c>
      <c r="D6" s="179">
        <v>4536</v>
      </c>
      <c r="E6" s="80">
        <v>1800</v>
      </c>
      <c r="F6" s="80">
        <v>4</v>
      </c>
      <c r="H6" s="12" t="s">
        <v>13</v>
      </c>
      <c r="I6" s="13" t="s">
        <v>112</v>
      </c>
      <c r="J6" s="191">
        <f>'Matriz de Manufatura'!L7</f>
        <v>360.02042918454936</v>
      </c>
      <c r="K6" s="192"/>
      <c r="L6" s="191">
        <f>'Matriz de Manufatura'!L8</f>
        <v>356.98402453660486</v>
      </c>
      <c r="M6" s="195"/>
      <c r="N6" s="191">
        <f>'Matriz de Manufatura'!L9</f>
        <v>330.09411381053314</v>
      </c>
      <c r="O6" s="192"/>
      <c r="P6" s="191">
        <f>'Matriz de Manufatura'!L10</f>
        <v>304</v>
      </c>
      <c r="Q6" s="192"/>
      <c r="R6" s="194">
        <f>'Matriz de Manufatura'!L11</f>
        <v>355.65765124331921</v>
      </c>
      <c r="S6" s="194"/>
      <c r="T6" s="194">
        <f>'Matriz de Manufatura'!L12</f>
        <v>355.65765124331921</v>
      </c>
      <c r="U6" s="194"/>
      <c r="V6" s="194">
        <f>'Matriz de Manufatura'!L13</f>
        <v>355.65765124331921</v>
      </c>
      <c r="W6" s="194"/>
      <c r="X6" s="194">
        <f>'Matriz de Manufatura'!L14</f>
        <v>355.65765124331921</v>
      </c>
      <c r="Y6" s="194"/>
      <c r="Z6" s="191">
        <f>'Matriz de Manufatura'!L15</f>
        <v>220.89186402657731</v>
      </c>
      <c r="AA6" s="195"/>
      <c r="AB6" s="191">
        <f>'Matriz de Manufatura'!L16</f>
        <v>262.05206055396991</v>
      </c>
      <c r="AC6" s="192"/>
      <c r="AD6" s="191">
        <f>'Matriz de Manufatura'!L17</f>
        <v>293.05357809292775</v>
      </c>
      <c r="AE6" s="192"/>
    </row>
    <row r="7" spans="1:43" ht="30" customHeight="1">
      <c r="A7" s="202"/>
      <c r="B7" s="204"/>
      <c r="C7" s="78" t="s">
        <v>107</v>
      </c>
      <c r="D7" s="179">
        <v>4567</v>
      </c>
      <c r="E7" s="80">
        <f>E6/5</f>
        <v>360</v>
      </c>
      <c r="F7" s="80">
        <v>4</v>
      </c>
      <c r="H7" s="12" t="s">
        <v>21</v>
      </c>
      <c r="I7" s="13" t="s">
        <v>22</v>
      </c>
      <c r="J7" s="193">
        <v>5</v>
      </c>
      <c r="K7" s="192"/>
      <c r="L7" s="199">
        <v>5</v>
      </c>
      <c r="M7" s="199"/>
      <c r="N7" s="199">
        <v>3</v>
      </c>
      <c r="O7" s="199"/>
      <c r="P7" s="199">
        <v>5</v>
      </c>
      <c r="Q7" s="199"/>
      <c r="R7" s="194">
        <v>5</v>
      </c>
      <c r="S7" s="194"/>
      <c r="T7" s="194">
        <v>3</v>
      </c>
      <c r="U7" s="194"/>
      <c r="V7" s="194">
        <v>2</v>
      </c>
      <c r="W7" s="194"/>
      <c r="X7" s="194">
        <v>5</v>
      </c>
      <c r="Y7" s="194"/>
      <c r="Z7" s="199">
        <v>1</v>
      </c>
      <c r="AA7" s="199"/>
      <c r="AB7" s="199">
        <v>5</v>
      </c>
      <c r="AC7" s="199"/>
      <c r="AD7" s="199">
        <v>2</v>
      </c>
      <c r="AE7" s="199"/>
    </row>
    <row r="8" spans="1:43" ht="30" customHeight="1">
      <c r="A8" s="202"/>
      <c r="B8" s="205"/>
      <c r="C8" s="78" t="s">
        <v>108</v>
      </c>
      <c r="D8" s="179">
        <v>4660</v>
      </c>
      <c r="E8" s="80">
        <f>E6/6</f>
        <v>300</v>
      </c>
      <c r="F8" s="80">
        <v>4</v>
      </c>
      <c r="H8" s="12" t="s">
        <v>14</v>
      </c>
      <c r="I8" s="13" t="s">
        <v>103</v>
      </c>
      <c r="J8" s="199">
        <v>1760</v>
      </c>
      <c r="K8" s="199"/>
      <c r="L8" s="199">
        <v>2400</v>
      </c>
      <c r="M8" s="199"/>
      <c r="N8" s="199">
        <v>1420</v>
      </c>
      <c r="O8" s="199"/>
      <c r="P8" s="199">
        <v>2700</v>
      </c>
      <c r="Q8" s="199"/>
      <c r="R8" s="194">
        <v>7850</v>
      </c>
      <c r="S8" s="194"/>
      <c r="T8" s="194">
        <v>7850</v>
      </c>
      <c r="U8" s="194"/>
      <c r="V8" s="194">
        <v>7850</v>
      </c>
      <c r="W8" s="194"/>
      <c r="X8" s="194">
        <v>7850</v>
      </c>
      <c r="Y8" s="194"/>
      <c r="Z8" s="199">
        <v>4500</v>
      </c>
      <c r="AA8" s="199"/>
      <c r="AB8" s="199">
        <v>2700</v>
      </c>
      <c r="AC8" s="199"/>
      <c r="AD8" s="199">
        <v>7850</v>
      </c>
      <c r="AE8" s="199"/>
    </row>
    <row r="9" spans="1:43" ht="30" customHeight="1">
      <c r="A9" s="202"/>
      <c r="B9" s="203" t="s">
        <v>110</v>
      </c>
      <c r="C9" s="78" t="s">
        <v>109</v>
      </c>
      <c r="D9" s="179">
        <v>7390</v>
      </c>
      <c r="E9" s="80">
        <v>2340</v>
      </c>
      <c r="F9" s="80">
        <v>4</v>
      </c>
      <c r="I9" s="184" t="s">
        <v>28</v>
      </c>
      <c r="J9" s="197" t="s">
        <v>105</v>
      </c>
      <c r="K9" s="198"/>
      <c r="L9" s="197" t="s">
        <v>104</v>
      </c>
      <c r="M9" s="198"/>
      <c r="N9" s="197" t="s">
        <v>118</v>
      </c>
      <c r="O9" s="198"/>
      <c r="P9" s="200" t="s">
        <v>334</v>
      </c>
      <c r="Q9" s="200"/>
      <c r="R9" s="197" t="s">
        <v>27</v>
      </c>
      <c r="S9" s="198"/>
      <c r="T9" s="197"/>
      <c r="U9" s="198"/>
      <c r="V9" s="197"/>
      <c r="W9" s="198"/>
      <c r="X9" s="197"/>
      <c r="Y9" s="198"/>
      <c r="Z9" s="197" t="s">
        <v>26</v>
      </c>
      <c r="AA9" s="198"/>
      <c r="AB9" s="200" t="s">
        <v>334</v>
      </c>
      <c r="AC9" s="200"/>
      <c r="AD9" s="200" t="s">
        <v>324</v>
      </c>
      <c r="AE9" s="200"/>
    </row>
    <row r="10" spans="1:43" ht="30" customHeight="1">
      <c r="A10" s="202"/>
      <c r="B10" s="204"/>
      <c r="C10" s="78" t="s">
        <v>107</v>
      </c>
      <c r="D10" s="179">
        <v>7421</v>
      </c>
      <c r="E10" s="80">
        <f>E9/5</f>
        <v>468</v>
      </c>
      <c r="F10" s="80">
        <v>4</v>
      </c>
      <c r="G10" s="196"/>
      <c r="H10" s="196"/>
      <c r="I10" s="11"/>
      <c r="J10" s="11"/>
      <c r="K10" s="196"/>
      <c r="L10" s="196"/>
      <c r="M10" s="11"/>
      <c r="N10" s="196"/>
      <c r="O10" s="196"/>
      <c r="P10" s="11"/>
      <c r="Q10" s="11"/>
      <c r="R10" s="196"/>
      <c r="S10" s="196"/>
      <c r="T10" s="196"/>
      <c r="U10" s="196"/>
      <c r="V10" s="196"/>
      <c r="W10" s="196"/>
      <c r="X10" s="196"/>
      <c r="Y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</row>
    <row r="11" spans="1:43" ht="30" customHeight="1">
      <c r="A11" s="202"/>
      <c r="B11" s="205"/>
      <c r="C11" s="78" t="s">
        <v>108</v>
      </c>
      <c r="D11" s="179">
        <v>7514</v>
      </c>
      <c r="E11" s="80">
        <f>E9/6</f>
        <v>390</v>
      </c>
      <c r="F11" s="80">
        <v>4</v>
      </c>
    </row>
    <row r="12" spans="1:43" ht="30" customHeight="1">
      <c r="A12" s="202"/>
      <c r="B12" s="203" t="s">
        <v>111</v>
      </c>
      <c r="C12" s="78" t="s">
        <v>109</v>
      </c>
      <c r="D12" s="179">
        <v>7374</v>
      </c>
      <c r="E12" s="80">
        <v>1800</v>
      </c>
      <c r="F12" s="80">
        <v>4</v>
      </c>
    </row>
    <row r="13" spans="1:43" ht="30" customHeight="1">
      <c r="A13" s="202"/>
      <c r="B13" s="204"/>
      <c r="C13" s="78" t="s">
        <v>107</v>
      </c>
      <c r="D13" s="179">
        <v>7405</v>
      </c>
      <c r="E13" s="80">
        <f>E12/5</f>
        <v>360</v>
      </c>
      <c r="F13" s="80">
        <v>4</v>
      </c>
    </row>
    <row r="14" spans="1:43" ht="30" customHeight="1">
      <c r="A14" s="202"/>
      <c r="B14" s="205"/>
      <c r="C14" s="78" t="s">
        <v>108</v>
      </c>
      <c r="D14" s="179">
        <v>7499</v>
      </c>
      <c r="E14" s="80">
        <f>E12/6</f>
        <v>300</v>
      </c>
      <c r="F14" s="80">
        <v>4</v>
      </c>
    </row>
    <row r="15" spans="1:43" ht="30" customHeight="1">
      <c r="A15" s="202"/>
      <c r="B15" s="203" t="s">
        <v>119</v>
      </c>
      <c r="C15" s="78" t="s">
        <v>109</v>
      </c>
      <c r="D15" s="179">
        <v>6024</v>
      </c>
      <c r="E15" s="80">
        <v>2340</v>
      </c>
      <c r="F15" s="80">
        <v>3</v>
      </c>
    </row>
    <row r="16" spans="1:43" ht="30" customHeight="1">
      <c r="A16" s="202"/>
      <c r="B16" s="204"/>
      <c r="C16" s="78" t="s">
        <v>107</v>
      </c>
      <c r="D16" s="179">
        <v>6055</v>
      </c>
      <c r="E16" s="80">
        <f>E15/5</f>
        <v>468</v>
      </c>
      <c r="F16" s="80">
        <v>3</v>
      </c>
    </row>
    <row r="17" spans="1:6" ht="30" customHeight="1">
      <c r="A17" s="202"/>
      <c r="B17" s="205"/>
      <c r="C17" s="78" t="s">
        <v>108</v>
      </c>
      <c r="D17" s="179">
        <v>6148</v>
      </c>
      <c r="E17" s="80">
        <f>E15/6</f>
        <v>390</v>
      </c>
      <c r="F17" s="80">
        <v>3</v>
      </c>
    </row>
    <row r="18" spans="1:6" ht="30" customHeight="1">
      <c r="A18" s="202"/>
      <c r="B18" s="203" t="s">
        <v>120</v>
      </c>
      <c r="C18" s="78" t="s">
        <v>109</v>
      </c>
      <c r="D18" s="179">
        <v>6009</v>
      </c>
      <c r="E18" s="80">
        <v>1800</v>
      </c>
      <c r="F18" s="80">
        <v>3</v>
      </c>
    </row>
    <row r="19" spans="1:6" ht="30" customHeight="1">
      <c r="A19" s="202"/>
      <c r="B19" s="204"/>
      <c r="C19" s="78" t="s">
        <v>107</v>
      </c>
      <c r="D19" s="179">
        <v>6040</v>
      </c>
      <c r="E19" s="80">
        <f>E18/5</f>
        <v>360</v>
      </c>
      <c r="F19" s="80">
        <v>3</v>
      </c>
    </row>
    <row r="20" spans="1:6" ht="30" customHeight="1">
      <c r="A20" s="202"/>
      <c r="B20" s="205"/>
      <c r="C20" s="78" t="s">
        <v>108</v>
      </c>
      <c r="D20" s="179">
        <v>6133</v>
      </c>
      <c r="E20" s="80">
        <f>E18/6</f>
        <v>300</v>
      </c>
      <c r="F20" s="80">
        <v>3</v>
      </c>
    </row>
    <row r="21" spans="1:6" ht="30" customHeight="1">
      <c r="A21" s="202"/>
      <c r="B21" s="86" t="s">
        <v>135</v>
      </c>
      <c r="C21" s="78" t="s">
        <v>337</v>
      </c>
      <c r="D21" s="179">
        <v>311.45999999999998</v>
      </c>
      <c r="E21" s="80">
        <f>25*60</f>
        <v>1500</v>
      </c>
      <c r="F21" s="80">
        <v>2</v>
      </c>
    </row>
    <row r="22" spans="1:6" ht="30" customHeight="1">
      <c r="A22" s="201" t="s">
        <v>336</v>
      </c>
      <c r="B22" s="86" t="s">
        <v>27</v>
      </c>
      <c r="C22" s="78" t="s">
        <v>134</v>
      </c>
      <c r="D22" s="179">
        <v>398.53</v>
      </c>
      <c r="E22" s="80">
        <v>1920</v>
      </c>
      <c r="F22" s="80">
        <v>5</v>
      </c>
    </row>
    <row r="23" spans="1:6" ht="30" customHeight="1">
      <c r="A23" s="201"/>
      <c r="B23" s="86" t="s">
        <v>126</v>
      </c>
      <c r="C23" s="78" t="s">
        <v>134</v>
      </c>
      <c r="D23" s="179">
        <v>398.53</v>
      </c>
      <c r="E23" s="80">
        <v>1920</v>
      </c>
      <c r="F23" s="80">
        <v>5</v>
      </c>
    </row>
    <row r="24" spans="1:6" ht="30" customHeight="1">
      <c r="A24" s="201"/>
      <c r="B24" s="86" t="s">
        <v>127</v>
      </c>
      <c r="C24" s="78" t="s">
        <v>134</v>
      </c>
      <c r="D24" s="179">
        <v>398.53</v>
      </c>
      <c r="E24" s="80">
        <v>1920</v>
      </c>
      <c r="F24" s="80">
        <v>5</v>
      </c>
    </row>
    <row r="25" spans="1:6" ht="30" customHeight="1">
      <c r="A25" s="201"/>
      <c r="B25" s="86" t="s">
        <v>128</v>
      </c>
      <c r="C25" s="78" t="s">
        <v>134</v>
      </c>
      <c r="D25" s="179">
        <v>398.53</v>
      </c>
      <c r="E25" s="80">
        <v>1920</v>
      </c>
      <c r="F25" s="80">
        <v>5</v>
      </c>
    </row>
    <row r="26" spans="1:6" ht="30" customHeight="1">
      <c r="A26" s="201"/>
      <c r="B26" s="86" t="s">
        <v>129</v>
      </c>
      <c r="C26" s="78" t="s">
        <v>134</v>
      </c>
      <c r="D26" s="179">
        <v>479.18</v>
      </c>
      <c r="E26" s="80">
        <v>2820</v>
      </c>
      <c r="F26" s="80">
        <v>1</v>
      </c>
    </row>
    <row r="27" spans="1:6" ht="30" customHeight="1">
      <c r="A27" s="201"/>
      <c r="B27" s="86" t="s">
        <v>17</v>
      </c>
      <c r="C27" s="78" t="s">
        <v>134</v>
      </c>
      <c r="D27" s="179">
        <v>424.22</v>
      </c>
      <c r="E27" s="80">
        <v>2340</v>
      </c>
      <c r="F27" s="80">
        <v>2</v>
      </c>
    </row>
    <row r="28" spans="1:6" ht="30" customHeight="1">
      <c r="A28" s="201"/>
      <c r="B28" s="86" t="s">
        <v>323</v>
      </c>
      <c r="C28" s="78" t="s">
        <v>134</v>
      </c>
      <c r="D28" s="179">
        <v>428.72</v>
      </c>
      <c r="E28" s="80">
        <v>1920</v>
      </c>
      <c r="F28" s="80">
        <v>3</v>
      </c>
    </row>
    <row r="29" spans="1:6" ht="14.5" customHeight="1"/>
    <row r="30" spans="1:6" ht="14.5" customHeight="1"/>
    <row r="32" spans="1:6" ht="14.5" customHeight="1"/>
    <row r="33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</sheetData>
  <mergeCells count="110">
    <mergeCell ref="P2:Q2"/>
    <mergeCell ref="P3:Q3"/>
    <mergeCell ref="P4:Q4"/>
    <mergeCell ref="P5:Q5"/>
    <mergeCell ref="P6:Q6"/>
    <mergeCell ref="P7:Q7"/>
    <mergeCell ref="P8:Q8"/>
    <mergeCell ref="P9:Q9"/>
    <mergeCell ref="A3:A21"/>
    <mergeCell ref="L4:M4"/>
    <mergeCell ref="L5:M5"/>
    <mergeCell ref="L6:M6"/>
    <mergeCell ref="L7:M7"/>
    <mergeCell ref="B3:B5"/>
    <mergeCell ref="B12:B14"/>
    <mergeCell ref="B15:B17"/>
    <mergeCell ref="B18:B20"/>
    <mergeCell ref="B6:B8"/>
    <mergeCell ref="B9:B11"/>
    <mergeCell ref="N2:O2"/>
    <mergeCell ref="N3:O3"/>
    <mergeCell ref="J3:K3"/>
    <mergeCell ref="J4:K4"/>
    <mergeCell ref="J5:K5"/>
    <mergeCell ref="A22:A28"/>
    <mergeCell ref="K10:L10"/>
    <mergeCell ref="AB2:AC2"/>
    <mergeCell ref="R2:S2"/>
    <mergeCell ref="R8:S8"/>
    <mergeCell ref="R9:S9"/>
    <mergeCell ref="R3:S3"/>
    <mergeCell ref="AD2:AE2"/>
    <mergeCell ref="AD3:AE3"/>
    <mergeCell ref="AD4:AE4"/>
    <mergeCell ref="AD5:AE5"/>
    <mergeCell ref="AD6:AE6"/>
    <mergeCell ref="AD7:AE7"/>
    <mergeCell ref="AD8:AE8"/>
    <mergeCell ref="AD9:AE9"/>
    <mergeCell ref="T9:U9"/>
    <mergeCell ref="AB3:AC3"/>
    <mergeCell ref="AB4:AC4"/>
    <mergeCell ref="AB5:AC5"/>
    <mergeCell ref="AB6:AC6"/>
    <mergeCell ref="J8:K8"/>
    <mergeCell ref="J9:K9"/>
    <mergeCell ref="V9:W9"/>
    <mergeCell ref="X9:Y9"/>
    <mergeCell ref="AP10:AQ10"/>
    <mergeCell ref="AL10:AM10"/>
    <mergeCell ref="AH10:AI10"/>
    <mergeCell ref="AJ10:AK10"/>
    <mergeCell ref="L8:M8"/>
    <mergeCell ref="L9:M9"/>
    <mergeCell ref="G10:H10"/>
    <mergeCell ref="AB7:AC7"/>
    <mergeCell ref="AB8:AC8"/>
    <mergeCell ref="AB9:AC9"/>
    <mergeCell ref="V10:W10"/>
    <mergeCell ref="N10:O10"/>
    <mergeCell ref="R10:S10"/>
    <mergeCell ref="V7:W7"/>
    <mergeCell ref="V8:W8"/>
    <mergeCell ref="R7:S7"/>
    <mergeCell ref="AN10:AO10"/>
    <mergeCell ref="AD10:AG10"/>
    <mergeCell ref="Z7:AA7"/>
    <mergeCell ref="Z8:AA8"/>
    <mergeCell ref="Z9:AA9"/>
    <mergeCell ref="X7:Y7"/>
    <mergeCell ref="X8:Y8"/>
    <mergeCell ref="X10:Y10"/>
    <mergeCell ref="X6:Y6"/>
    <mergeCell ref="AB10:AC10"/>
    <mergeCell ref="N4:O4"/>
    <mergeCell ref="N9:O9"/>
    <mergeCell ref="T7:U7"/>
    <mergeCell ref="T8:U8"/>
    <mergeCell ref="R6:S6"/>
    <mergeCell ref="T10:U10"/>
    <mergeCell ref="R4:S4"/>
    <mergeCell ref="R5:S5"/>
    <mergeCell ref="N5:O5"/>
    <mergeCell ref="N6:O6"/>
    <mergeCell ref="N7:O7"/>
    <mergeCell ref="N8:O8"/>
    <mergeCell ref="T2:U2"/>
    <mergeCell ref="J6:K6"/>
    <mergeCell ref="J7:K7"/>
    <mergeCell ref="L3:M3"/>
    <mergeCell ref="J2:K2"/>
    <mergeCell ref="L2:M2"/>
    <mergeCell ref="V2:W2"/>
    <mergeCell ref="X2:Y2"/>
    <mergeCell ref="Z2:AA2"/>
    <mergeCell ref="Z3:AA3"/>
    <mergeCell ref="Z4:AA4"/>
    <mergeCell ref="Z5:AA5"/>
    <mergeCell ref="Z6:AA6"/>
    <mergeCell ref="T3:U3"/>
    <mergeCell ref="V3:W3"/>
    <mergeCell ref="X3:Y3"/>
    <mergeCell ref="T4:U4"/>
    <mergeCell ref="V4:W4"/>
    <mergeCell ref="X4:Y4"/>
    <mergeCell ref="T5:U5"/>
    <mergeCell ref="V5:W5"/>
    <mergeCell ref="X5:Y5"/>
    <mergeCell ref="T6:U6"/>
    <mergeCell ref="V6:W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1:X23"/>
  <sheetViews>
    <sheetView showGridLines="0" tabSelected="1" topLeftCell="A7" zoomScale="51" zoomScaleNormal="55" workbookViewId="0">
      <pane xSplit="1" topLeftCell="B1" activePane="topRight" state="frozen"/>
      <selection activeCell="A24" sqref="A24"/>
      <selection pane="topRight" activeCell="D20" sqref="D20"/>
    </sheetView>
  </sheetViews>
  <sheetFormatPr defaultColWidth="9.1796875" defaultRowHeight="14.5"/>
  <cols>
    <col min="1" max="1" width="30.453125" style="1" customWidth="1"/>
    <col min="2" max="2" width="31.1796875" style="1" customWidth="1"/>
    <col min="3" max="3" width="8.7265625" style="1" bestFit="1" customWidth="1"/>
    <col min="4" max="4" width="32.453125" style="1" customWidth="1"/>
    <col min="5" max="5" width="13.7265625" style="1" customWidth="1"/>
    <col min="6" max="6" width="32.26953125" style="1" customWidth="1"/>
    <col min="7" max="7" width="13.1796875" style="1" customWidth="1"/>
    <col min="8" max="8" width="32.26953125" style="1" customWidth="1"/>
    <col min="9" max="9" width="13.1796875" style="1" customWidth="1"/>
    <col min="10" max="10" width="32.26953125" style="1" customWidth="1"/>
    <col min="11" max="11" width="13.54296875" style="1" customWidth="1"/>
    <col min="12" max="12" width="31" style="1" customWidth="1"/>
    <col min="13" max="13" width="12.54296875" style="1" customWidth="1"/>
    <col min="14" max="14" width="35.54296875" style="1" customWidth="1"/>
    <col min="15" max="15" width="12.1796875" style="1" customWidth="1"/>
    <col min="16" max="16" width="30.54296875" style="1" customWidth="1"/>
    <col min="17" max="17" width="12.54296875" style="1" customWidth="1"/>
    <col min="18" max="18" width="27.453125" style="1" customWidth="1"/>
    <col min="19" max="19" width="12.54296875" style="1" customWidth="1"/>
    <col min="20" max="20" width="35" style="1" customWidth="1"/>
    <col min="21" max="21" width="10.54296875" style="1" customWidth="1"/>
    <col min="22" max="22" width="28" style="1" customWidth="1"/>
    <col min="23" max="23" width="10.54296875" style="1" hidden="1" customWidth="1"/>
    <col min="24" max="24" width="28" style="1" hidden="1" customWidth="1"/>
    <col min="25" max="16384" width="9.1796875" style="1"/>
  </cols>
  <sheetData>
    <row r="1" spans="1:24" ht="27" customHeight="1"/>
    <row r="4" spans="1:24" ht="25">
      <c r="B4" s="211" t="s">
        <v>0</v>
      </c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</row>
    <row r="5" spans="1:24" ht="10.15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44.5" customHeight="1">
      <c r="A6"/>
      <c r="B6" s="64"/>
      <c r="C6" s="213"/>
      <c r="D6" s="213"/>
      <c r="E6" s="212"/>
      <c r="F6" s="212"/>
      <c r="G6" s="64"/>
      <c r="H6" s="64"/>
      <c r="I6" s="64"/>
      <c r="J6" s="64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</row>
    <row r="7" spans="1:24" s="2" customFormat="1" ht="44.5" customHeight="1">
      <c r="A7" s="65"/>
      <c r="B7" s="215" t="s">
        <v>101</v>
      </c>
      <c r="C7" s="215"/>
      <c r="D7" s="72" t="s">
        <v>100</v>
      </c>
      <c r="E7" s="75"/>
      <c r="F7" s="74"/>
      <c r="G7" s="74"/>
      <c r="H7" s="74"/>
      <c r="I7" s="74"/>
      <c r="J7" s="74"/>
      <c r="K7" s="75"/>
      <c r="L7" s="67"/>
      <c r="M7" s="65"/>
      <c r="N7" s="65"/>
      <c r="O7" s="67"/>
      <c r="P7" s="65"/>
      <c r="Q7" s="65"/>
      <c r="R7" s="66"/>
      <c r="S7" s="65"/>
      <c r="T7" s="65"/>
      <c r="U7" s="65"/>
      <c r="V7" s="65"/>
      <c r="W7" s="65"/>
      <c r="X7" s="65"/>
    </row>
    <row r="8" spans="1:24" s="2" customFormat="1" ht="45" customHeight="1">
      <c r="A8" s="65"/>
      <c r="B8" s="216" t="str">
        <f>INDEX(C14:H14,MATCH(D8,C22:H22,0))</f>
        <v>Fibra de Carbono</v>
      </c>
      <c r="C8" s="216"/>
      <c r="D8" s="62">
        <f>LARGE(C22:H22,1)</f>
        <v>495.34681181959564</v>
      </c>
      <c r="E8" s="68"/>
      <c r="F8" s="76"/>
      <c r="G8" s="76"/>
      <c r="H8" s="76"/>
      <c r="I8" s="76"/>
      <c r="J8" s="76"/>
      <c r="K8" s="68"/>
      <c r="L8" s="65"/>
      <c r="M8" s="68"/>
      <c r="N8" s="68"/>
      <c r="O8" s="68"/>
      <c r="P8" s="68"/>
      <c r="Q8" s="68"/>
      <c r="R8" s="69"/>
      <c r="S8" s="68"/>
      <c r="T8" s="68"/>
      <c r="U8" s="68"/>
      <c r="V8" s="68"/>
      <c r="W8" s="68"/>
      <c r="X8" s="68"/>
    </row>
    <row r="9" spans="1:24" ht="45.65" customHeight="1">
      <c r="A9" s="70"/>
      <c r="B9" s="217" t="str">
        <f>INDEX(J14:X14,MATCH(D9,J22:X22,0))</f>
        <v>Aluminio CHASSI</v>
      </c>
      <c r="C9" s="217"/>
      <c r="D9" s="63">
        <f>LARGE(I22:X22,1)</f>
        <v>308.8223267562376</v>
      </c>
      <c r="N9" s="79"/>
      <c r="O9" s="71"/>
      <c r="P9" s="68"/>
      <c r="Q9" s="71"/>
      <c r="R9" s="69"/>
      <c r="S9" s="71"/>
      <c r="T9" s="68"/>
      <c r="U9" s="71"/>
      <c r="V9" s="68"/>
      <c r="W9" s="71"/>
      <c r="X9" s="68"/>
    </row>
    <row r="10" spans="1:24" s="2" customFormat="1" ht="44.5" customHeight="1">
      <c r="A10" s="65"/>
      <c r="C10" s="76"/>
      <c r="D10" s="76"/>
      <c r="E10" s="76"/>
      <c r="F10" s="76"/>
      <c r="G10" s="76"/>
      <c r="H10" s="76"/>
      <c r="I10" s="76"/>
      <c r="J10" s="76"/>
      <c r="K10" s="73"/>
      <c r="L10" s="73"/>
      <c r="M10" s="68"/>
      <c r="N10" s="68"/>
      <c r="O10" s="68"/>
      <c r="P10" s="68"/>
      <c r="Q10" s="68"/>
      <c r="R10" s="69"/>
      <c r="S10" s="68"/>
      <c r="T10" s="68"/>
      <c r="U10" s="68"/>
      <c r="V10" s="68"/>
      <c r="W10" s="68"/>
      <c r="X10" s="68"/>
    </row>
    <row r="11" spans="1:24">
      <c r="K11" s="3"/>
    </row>
    <row r="12" spans="1:24" ht="26">
      <c r="C12" s="214" t="s">
        <v>344</v>
      </c>
      <c r="D12" s="214"/>
      <c r="E12" s="214"/>
      <c r="F12" s="214"/>
      <c r="G12" s="214"/>
      <c r="H12" s="214"/>
      <c r="I12" s="214"/>
      <c r="J12" s="214"/>
      <c r="K12" s="3"/>
    </row>
    <row r="13" spans="1:24" ht="18.75" customHeight="1">
      <c r="C13" s="227" t="s">
        <v>19</v>
      </c>
      <c r="D13" s="228"/>
      <c r="E13" s="228"/>
      <c r="F13" s="228"/>
      <c r="G13" s="228"/>
      <c r="H13" s="229"/>
      <c r="I13" s="185"/>
      <c r="J13" s="185"/>
      <c r="K13" s="236" t="s">
        <v>20</v>
      </c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</row>
    <row r="14" spans="1:24" ht="56.25" customHeight="1">
      <c r="C14" s="230"/>
      <c r="D14" s="230" t="s">
        <v>15</v>
      </c>
      <c r="E14" s="230"/>
      <c r="F14" s="230" t="s">
        <v>16</v>
      </c>
      <c r="G14" s="230"/>
      <c r="H14" s="230" t="s">
        <v>102</v>
      </c>
      <c r="I14" s="230"/>
      <c r="J14" s="230" t="s">
        <v>345</v>
      </c>
      <c r="K14" s="237"/>
      <c r="L14" s="238" t="s">
        <v>27</v>
      </c>
      <c r="M14" s="237"/>
      <c r="N14" s="238" t="s">
        <v>126</v>
      </c>
      <c r="O14" s="237"/>
      <c r="P14" s="238" t="s">
        <v>127</v>
      </c>
      <c r="Q14" s="239"/>
      <c r="R14" s="238" t="s">
        <v>128</v>
      </c>
      <c r="S14" s="237"/>
      <c r="T14" s="238" t="s">
        <v>18</v>
      </c>
      <c r="U14" s="237"/>
      <c r="V14" s="240" t="s">
        <v>17</v>
      </c>
      <c r="W14" s="237"/>
      <c r="X14" s="238" t="s">
        <v>312</v>
      </c>
    </row>
    <row r="15" spans="1:24" ht="15.5">
      <c r="A15" s="222" t="s">
        <v>350</v>
      </c>
      <c r="B15" s="222" t="s">
        <v>14</v>
      </c>
      <c r="C15" s="231" t="s">
        <v>348</v>
      </c>
      <c r="D15" s="231" t="s">
        <v>347</v>
      </c>
      <c r="E15" s="231" t="s">
        <v>8</v>
      </c>
      <c r="F15" s="231" t="s">
        <v>9</v>
      </c>
      <c r="G15" s="231" t="s">
        <v>8</v>
      </c>
      <c r="H15" s="231" t="s">
        <v>9</v>
      </c>
      <c r="I15" s="231" t="s">
        <v>8</v>
      </c>
      <c r="J15" s="231" t="s">
        <v>9</v>
      </c>
      <c r="K15" s="241" t="s">
        <v>8</v>
      </c>
      <c r="L15" s="241" t="s">
        <v>9</v>
      </c>
      <c r="M15" s="241" t="s">
        <v>8</v>
      </c>
      <c r="N15" s="241" t="s">
        <v>9</v>
      </c>
      <c r="O15" s="241" t="s">
        <v>8</v>
      </c>
      <c r="P15" s="241" t="s">
        <v>9</v>
      </c>
      <c r="Q15" s="241" t="s">
        <v>8</v>
      </c>
      <c r="R15" s="241" t="s">
        <v>9</v>
      </c>
      <c r="S15" s="241" t="s">
        <v>8</v>
      </c>
      <c r="T15" s="241" t="s">
        <v>9</v>
      </c>
      <c r="U15" s="242" t="s">
        <v>348</v>
      </c>
      <c r="V15" s="242" t="s">
        <v>347</v>
      </c>
      <c r="W15" s="243" t="s">
        <v>8</v>
      </c>
      <c r="X15" s="243" t="s">
        <v>9</v>
      </c>
    </row>
    <row r="16" spans="1:24" ht="15.5">
      <c r="A16" s="5" t="s">
        <v>137</v>
      </c>
      <c r="B16" s="8">
        <v>11</v>
      </c>
      <c r="C16" s="232">
        <f>1+((('Planilha de Dados'!J3-MIN('Planilha de Dados'!$J$3:$AB$3))/(MAX('Planilha de Dados'!$J$3:$AB$3)-MIN('Planilha de Dados'!$G$3:$AW$3)))*4)</f>
        <v>5</v>
      </c>
      <c r="D16" s="233">
        <f>$B16*C16</f>
        <v>55</v>
      </c>
      <c r="E16" s="232">
        <f>1+((('Planilha de Dados'!L3-MIN('Planilha de Dados'!$J$3:$AB$3))/(MAX('Planilha de Dados'!$J$3:$AB$3)-MIN('Planilha de Dados'!$G$3:$AW$3)))*4)</f>
        <v>1</v>
      </c>
      <c r="F16" s="233">
        <f>$B16*E16</f>
        <v>11</v>
      </c>
      <c r="G16" s="232">
        <f>1+((('Planilha de Dados'!N3-MIN('Planilha de Dados'!$J$3:$AB$3))/(MAX('Planilha de Dados'!$J$3:$AB$3)-MIN('Planilha de Dados'!$G$3:$AW$3)))*4)</f>
        <v>2.1058823529411765</v>
      </c>
      <c r="H16" s="233">
        <f>$B16*G16</f>
        <v>23.164705882352941</v>
      </c>
      <c r="I16" s="232">
        <f>1+((('Planilha de Dados'!P3-MIN('Planilha de Dados'!$J$3:$AB$3))/(MAX('Planilha de Dados'!$J$3:$AB$3)-MIN('Planilha de Dados'!$G$3:$AW$3)))*4)</f>
        <v>2.0352941176470587</v>
      </c>
      <c r="J16" s="233">
        <f>$B16*I16</f>
        <v>22.388235294117646</v>
      </c>
      <c r="K16" s="244">
        <f>1+((('Planilha de Dados'!R3-MIN('Planilha de Dados'!$J$3:$AB$3))/(MAX('Planilha de Dados'!$J$3:$AB$3)-MIN('Planilha de Dados'!$G$3:$AW$3)))*4)</f>
        <v>4.0588235294117645</v>
      </c>
      <c r="L16" s="245">
        <f>$B16*K16</f>
        <v>44.647058823529406</v>
      </c>
      <c r="M16" s="244">
        <f>1+((('Planilha de Dados'!T3-MIN('Planilha de Dados'!$J$3:$AB$3))/(MAX('Planilha de Dados'!$J$3:$AB$3)-MIN('Planilha de Dados'!$G$3:$AW$3)))*4)</f>
        <v>4.1764705882352935</v>
      </c>
      <c r="N16" s="245">
        <f>$B16*M16</f>
        <v>45.941176470588232</v>
      </c>
      <c r="O16" s="244">
        <f>1+((('Planilha de Dados'!V3-MIN('Planilha de Dados'!$J$3:$AB$3))/(MAX('Planilha de Dados'!$J$3:$AB$3)-MIN('Planilha de Dados'!$G$3:$AW$3)))*4)</f>
        <v>4.1764705882352935</v>
      </c>
      <c r="P16" s="245">
        <f>$B16*O16</f>
        <v>45.941176470588232</v>
      </c>
      <c r="Q16" s="244">
        <f>1+((('Planilha de Dados'!X3-MIN('Planilha de Dados'!$J$3:$AB$3))/(MAX('Planilha de Dados'!$J$3:$AB$3)-MIN('Planilha de Dados'!$G$3:$AW$3)))*4)</f>
        <v>4.0588235294117645</v>
      </c>
      <c r="R16" s="245">
        <f>$B16*Q16</f>
        <v>44.647058823529406</v>
      </c>
      <c r="S16" s="244">
        <f>1+((('Planilha de Dados'!Z3-MIN('Planilha de Dados'!$J$3:$AB$3))/(MAX('Planilha de Dados'!$J$3:$AB$3)-MIN('Planilha de Dados'!$G$3:$AW$3)))*4)</f>
        <v>1.8235294117647058</v>
      </c>
      <c r="T16" s="245">
        <f>$B16*S16</f>
        <v>20.058823529411764</v>
      </c>
      <c r="U16" s="244">
        <f>1+((('Planilha de Dados'!AB3-MIN('Planilha de Dados'!$J$3:$AB$3))/(MAX('Planilha de Dados'!$J$3:$AB$3)-MIN('Planilha de Dados'!$G$3:$AW$3)))*4)</f>
        <v>2.0352941176470587</v>
      </c>
      <c r="V16" s="245">
        <f>$B16*U16</f>
        <v>22.388235294117646</v>
      </c>
      <c r="W16" s="244">
        <f>1+((('Planilha de Dados'!AD3-MIN('Planilha de Dados'!$J$3:$AB$3))/(MAX('Planilha de Dados'!$J$3:$AB$3)-MIN('Planilha de Dados'!$G$3:$AW$3)))*4)</f>
        <v>3.8941176470588235</v>
      </c>
      <c r="X16" s="245">
        <f>$B16*W16</f>
        <v>42.835294117647059</v>
      </c>
    </row>
    <row r="17" spans="1:24" ht="15.5">
      <c r="A17" s="4" t="s">
        <v>10</v>
      </c>
      <c r="B17" s="8">
        <v>15</v>
      </c>
      <c r="C17" s="232">
        <f>1+((('Planilha de Dados'!J4-MIN('Planilha de Dados'!$G$4:$AW$4))/(MAX('Planilha de Dados'!$G$4:$AW$4)-MIN('Planilha de Dados'!$G$4:$AW$4)))*4)</f>
        <v>5</v>
      </c>
      <c r="D17" s="233">
        <f t="shared" ref="D17:D21" si="0">$B17*C17</f>
        <v>75</v>
      </c>
      <c r="E17" s="232">
        <f>1+((('Planilha de Dados'!L4-MIN('Planilha de Dados'!$G$4:$AW$4))/(MAX('Planilha de Dados'!$G$4:$AW$4)-MIN('Planilha de Dados'!$G$4:$AW$4)))*4)</f>
        <v>1.5521126760563382</v>
      </c>
      <c r="F17" s="233">
        <f t="shared" ref="F17" si="1">$B17*E17</f>
        <v>23.281690140845072</v>
      </c>
      <c r="G17" s="232">
        <f>1+((('Planilha de Dados'!N4-MIN('Planilha de Dados'!$G$4:$AW$4))/(MAX('Planilha de Dados'!$G$4:$AW$4)-MIN('Planilha de Dados'!$G$4:$AW$4)))*4)</f>
        <v>4.4535211267605632</v>
      </c>
      <c r="H17" s="233">
        <f t="shared" ref="H17:J17" si="2">$B17*G17</f>
        <v>66.802816901408448</v>
      </c>
      <c r="I17" s="232">
        <f>1+((('Planilha de Dados'!P4-MIN('Planilha de Dados'!$G$4:$AW$4))/(MAX('Planilha de Dados'!$G$4:$AW$4)-MIN('Planilha de Dados'!$G$4:$AW$4)))*4)</f>
        <v>1</v>
      </c>
      <c r="J17" s="233">
        <f t="shared" si="2"/>
        <v>15</v>
      </c>
      <c r="K17" s="244">
        <f>1+((('Planilha de Dados'!R4-MIN('Planilha de Dados'!$G$4:$AW$4))/(MAX('Planilha de Dados'!$G$4:$AW$4)-MIN('Planilha de Dados'!$G$4:$AW$4)))*4)</f>
        <v>1.591549295774648</v>
      </c>
      <c r="L17" s="245">
        <f t="shared" ref="L17:N17" si="3">$B17*K17</f>
        <v>23.87323943661972</v>
      </c>
      <c r="M17" s="244">
        <f>1+((('Planilha de Dados'!T4-MIN('Planilha de Dados'!$G$4:$AW$4))/(MAX('Planilha de Dados'!$G$4:$AW$4)-MIN('Planilha de Dados'!$G$4:$AW$4)))*4)</f>
        <v>3.4225352112676055</v>
      </c>
      <c r="N17" s="245">
        <f t="shared" si="3"/>
        <v>51.338028169014081</v>
      </c>
      <c r="O17" s="244">
        <f>1+((('Planilha de Dados'!V4-MIN('Planilha de Dados'!$G$4:$AW$4))/(MAX('Planilha de Dados'!$G$4:$AW$4)-MIN('Planilha de Dados'!$G$4:$AW$4)))*4)</f>
        <v>2.7464788732394365</v>
      </c>
      <c r="P17" s="245">
        <f t="shared" ref="P17" si="4">$B17*O17</f>
        <v>41.197183098591545</v>
      </c>
      <c r="Q17" s="244">
        <f>1+((('Planilha de Dados'!X4-MIN('Planilha de Dados'!$G$4:$AW$4))/(MAX('Planilha de Dados'!$G$4:$AW$4)-MIN('Planilha de Dados'!$G$4:$AW$4)))*4)</f>
        <v>1.3943661971830985</v>
      </c>
      <c r="R17" s="245">
        <f t="shared" ref="R17" si="5">$B17*Q17</f>
        <v>20.915492957746476</v>
      </c>
      <c r="S17" s="244">
        <f>1+((('Planilha de Dados'!Z4-MIN('Planilha de Dados'!$G$4:$AW$4))/(MAX('Planilha de Dados'!$G$4:$AW$4)-MIN('Planilha de Dados'!$G$4:$AW$4)))*4)</f>
        <v>2.915492957746479</v>
      </c>
      <c r="T17" s="245">
        <f t="shared" ref="T17" si="6">$B17*S17</f>
        <v>43.732394366197184</v>
      </c>
      <c r="U17" s="244">
        <f>1+((('Planilha de Dados'!AB4-MIN('Planilha de Dados'!$G$4:$AW$4))/(MAX('Planilha de Dados'!$G$4:$AW$4)-MIN('Planilha de Dados'!$G$4:$AW$4)))*4)</f>
        <v>1</v>
      </c>
      <c r="V17" s="245">
        <f t="shared" ref="V17" si="7">$B17*U17</f>
        <v>15</v>
      </c>
      <c r="W17" s="244">
        <f>1+((('Planilha de Dados'!AD4-MIN('Planilha de Dados'!$G$4:$AW$4))/(MAX('Planilha de Dados'!$G$4:$AW$4)-MIN('Planilha de Dados'!$G$4:$AW$4)))*4)</f>
        <v>1.3943661971830985</v>
      </c>
      <c r="X17" s="245">
        <f t="shared" ref="X17" si="8">$B17*W17</f>
        <v>20.915492957746476</v>
      </c>
    </row>
    <row r="18" spans="1:24" ht="15.5">
      <c r="A18" s="4" t="s">
        <v>12</v>
      </c>
      <c r="B18" s="8">
        <v>20</v>
      </c>
      <c r="C18" s="232">
        <f>1+((('Planilha de Dados'!J5-MIN('Planilha de Dados'!$J$5:$AB$5))/(MAX('Planilha de Dados'!$J$5:$AB$5)-MIN('Planilha de Dados'!$J$5:$AB$5)))*4)</f>
        <v>5</v>
      </c>
      <c r="D18" s="233">
        <f t="shared" si="0"/>
        <v>100</v>
      </c>
      <c r="E18" s="232">
        <f>1+((('Planilha de Dados'!L5-MIN('Planilha de Dados'!$J$5:$AB$5))/(MAX('Planilha de Dados'!$J$5:$AB$5)-MIN('Planilha de Dados'!$J$5:$AB$5)))*4)</f>
        <v>1.6</v>
      </c>
      <c r="F18" s="233">
        <f t="shared" ref="F18" si="9">$B18*E18</f>
        <v>32</v>
      </c>
      <c r="G18" s="232">
        <f>1+((('Planilha de Dados'!N5-MIN('Planilha de Dados'!$J$5:$AB$5))/(MAX('Planilha de Dados'!$J$5:$AB$5)-MIN('Planilha de Dados'!$J$5:$AB$5)))*4)</f>
        <v>4.431111111111111</v>
      </c>
      <c r="H18" s="233">
        <f t="shared" ref="H18:J18" si="10">$B18*G18</f>
        <v>88.62222222222222</v>
      </c>
      <c r="I18" s="232">
        <f>1+((('Planilha de Dados'!P5-MIN('Planilha de Dados'!$J$5:$AB$5))/(MAX('Planilha de Dados'!$J$5:$AB$5)-MIN('Planilha de Dados'!$J$5:$AB$5)))*4)</f>
        <v>2.1555555555555554</v>
      </c>
      <c r="J18" s="233">
        <f t="shared" si="10"/>
        <v>43.111111111111107</v>
      </c>
      <c r="K18" s="244">
        <f>1+((('Planilha de Dados'!R5-MIN('Planilha de Dados'!$J$5:$AB$5))/(MAX('Planilha de Dados'!$J$5:$AB$5)-MIN('Planilha de Dados'!$J$5:$AB$5)))*4)</f>
        <v>1.6666666666666665</v>
      </c>
      <c r="L18" s="245">
        <f t="shared" ref="L18:N18" si="11">$B18*K18</f>
        <v>33.333333333333329</v>
      </c>
      <c r="M18" s="244">
        <f>1+((('Planilha de Dados'!T5-MIN('Planilha de Dados'!$J$5:$AB$5))/(MAX('Planilha de Dados'!$J$5:$AB$5)-MIN('Planilha de Dados'!$J$5:$AB$5)))*4)</f>
        <v>2.2000000000000002</v>
      </c>
      <c r="N18" s="245">
        <f t="shared" si="11"/>
        <v>44</v>
      </c>
      <c r="O18" s="244">
        <f>1+((('Planilha de Dados'!V5-MIN('Planilha de Dados'!$J$5:$AB$5))/(MAX('Planilha de Dados'!$J$5:$AB$5)-MIN('Planilha de Dados'!$J$5:$AB$5)))*4)</f>
        <v>2.0444444444444443</v>
      </c>
      <c r="P18" s="245">
        <f t="shared" ref="P18" si="12">$B18*O18</f>
        <v>40.888888888888886</v>
      </c>
      <c r="Q18" s="244">
        <f>1+((('Planilha de Dados'!X5-MIN('Planilha de Dados'!$J$5:$AB$5))/(MAX('Planilha de Dados'!$J$5:$AB$5)-MIN('Planilha de Dados'!$J$5:$AB$5)))*4)</f>
        <v>1</v>
      </c>
      <c r="R18" s="245">
        <f t="shared" ref="R18" si="13">$B18*Q18</f>
        <v>20</v>
      </c>
      <c r="S18" s="244">
        <f>1+((('Planilha de Dados'!Z5-MIN('Planilha de Dados'!$J$5:$AB$5))/(MAX('Planilha de Dados'!$J$5:$AB$5)-MIN('Planilha de Dados'!$J$5:$AB$5)))*4)</f>
        <v>4.2888888888888888</v>
      </c>
      <c r="T18" s="245">
        <f t="shared" ref="T18" si="14">$B18*S18</f>
        <v>85.777777777777771</v>
      </c>
      <c r="U18" s="244">
        <f>1+((('Planilha de Dados'!AB5-MIN('Planilha de Dados'!$J$5:$AB$5))/(MAX('Planilha de Dados'!$J$5:$AB$5)-MIN('Planilha de Dados'!$J$5:$AB$5)))*4)</f>
        <v>2.1555555555555554</v>
      </c>
      <c r="V18" s="245">
        <f t="shared" ref="V18" si="15">$B18*U18</f>
        <v>43.111111111111107</v>
      </c>
      <c r="W18" s="244">
        <f>1+((('Planilha de Dados'!AD5-MIN('Planilha de Dados'!$J$5:$AB$5))/(MAX('Planilha de Dados'!$J$5:$AB$5)-MIN('Planilha de Dados'!$J$5:$AB$5)))*4)</f>
        <v>1.0666666666666667</v>
      </c>
      <c r="X18" s="245">
        <f t="shared" ref="X18" si="16">$B18*W18</f>
        <v>21.333333333333332</v>
      </c>
    </row>
    <row r="19" spans="1:24" ht="15.5">
      <c r="A19" s="4" t="s">
        <v>13</v>
      </c>
      <c r="B19" s="8">
        <v>15</v>
      </c>
      <c r="C19" s="232">
        <f>1+((('Planilha de Dados'!J6-MIN('Planilha de Dados'!$J$6:$AB$6))/(MAX('Planilha de Dados'!$J$6:$AB$6)-MIN('Planilha de Dados'!$J$6:$AB$6)))*4)</f>
        <v>5</v>
      </c>
      <c r="D19" s="233">
        <f t="shared" si="0"/>
        <v>75</v>
      </c>
      <c r="E19" s="232">
        <f>1+((('Planilha de Dados'!L6-MIN('Planilha de Dados'!$J$6:$AB$6))/(MAX('Planilha de Dados'!$J$6:$AB$6)-MIN('Planilha de Dados'!$J$6:$AB$6)))*4)</f>
        <v>4.912702193270035</v>
      </c>
      <c r="F19" s="233">
        <f t="shared" ref="F19" si="17">$B19*E19</f>
        <v>73.690532899050524</v>
      </c>
      <c r="G19" s="232">
        <f>1+((('Planilha de Dados'!N6-MIN('Planilha de Dados'!$J$6:$AB$6))/(MAX('Planilha de Dados'!$J$6:$AB$6)-MIN('Planilha de Dados'!$J$6:$AB$6)))*4)</f>
        <v>4.1396068710969107</v>
      </c>
      <c r="H19" s="233">
        <f t="shared" ref="H19:J19" si="18">$B19*G19</f>
        <v>62.094103066453663</v>
      </c>
      <c r="I19" s="232">
        <f>1+((('Planilha de Dados'!P6-MIN('Planilha de Dados'!$J$6:$AB$6))/(MAX('Planilha de Dados'!$J$6:$AB$6)-MIN('Planilha de Dados'!$J$6:$AB$6)))*4)</f>
        <v>3.3893910176981539</v>
      </c>
      <c r="J19" s="233">
        <f t="shared" si="18"/>
        <v>50.84086526547231</v>
      </c>
      <c r="K19" s="244">
        <f>1+((('Planilha de Dados'!R6-MIN('Planilha de Dados'!$J$6:$AB$6))/(MAX('Planilha de Dados'!$J$6:$AB$6)-MIN('Planilha de Dados'!$J$6:$AB$6)))*4)</f>
        <v>4.874568448649593</v>
      </c>
      <c r="L19" s="245">
        <f t="shared" ref="L19:N19" si="19">$B19*K19</f>
        <v>73.118526729743891</v>
      </c>
      <c r="M19" s="244">
        <f>1+((('Planilha de Dados'!T6-MIN('Planilha de Dados'!$J$6:$AB$6))/(MAX('Planilha de Dados'!$J$6:$AB$6)-MIN('Planilha de Dados'!$J$6:$AB$6)))*4)</f>
        <v>4.874568448649593</v>
      </c>
      <c r="N19" s="245">
        <f t="shared" si="19"/>
        <v>73.118526729743891</v>
      </c>
      <c r="O19" s="244">
        <f>1+((('Planilha de Dados'!V6-MIN('Planilha de Dados'!$J$6:$AB$6))/(MAX('Planilha de Dados'!$J$6:$AB$6)-MIN('Planilha de Dados'!$J$6:$AB$6)))*4)</f>
        <v>4.874568448649593</v>
      </c>
      <c r="P19" s="245">
        <f t="shared" ref="P19" si="20">$B19*O19</f>
        <v>73.118526729743891</v>
      </c>
      <c r="Q19" s="244">
        <f>1+((('Planilha de Dados'!X6-MIN('Planilha de Dados'!$J$6:$AB$6))/(MAX('Planilha de Dados'!$J$6:$AB$6)-MIN('Planilha de Dados'!$J$6:$AB$6)))*4)</f>
        <v>4.874568448649593</v>
      </c>
      <c r="R19" s="245">
        <f t="shared" ref="R19" si="21">$B19*Q19</f>
        <v>73.118526729743891</v>
      </c>
      <c r="S19" s="244">
        <f>1+((('Planilha de Dados'!Z6-MIN('Planilha de Dados'!$J$6:$AB$6))/(MAX('Planilha de Dados'!$J$6:$AB$6)-MIN('Planilha de Dados'!$J$6:$AB$6)))*4)</f>
        <v>1</v>
      </c>
      <c r="T19" s="245">
        <f t="shared" ref="T19" si="22">$B19*S19</f>
        <v>15</v>
      </c>
      <c r="U19" s="244">
        <f>1+((('Planilha de Dados'!AB6-MIN('Planilha de Dados'!$J$6:$AB$6))/(MAX('Planilha de Dados'!$J$6:$AB$6)-MIN('Planilha de Dados'!$J$6:$AB$6)))*4)</f>
        <v>2.1833715522231598</v>
      </c>
      <c r="V19" s="245">
        <f t="shared" ref="V19" si="23">$B19*U19</f>
        <v>32.7505732833474</v>
      </c>
      <c r="W19" s="244">
        <f>1+((('Planilha de Dados'!AD6-MIN('Planilha de Dados'!$J$6:$AB$6))/(MAX('Planilha de Dados'!$J$6:$AB$6)-MIN('Planilha de Dados'!$J$6:$AB$6)))*4)</f>
        <v>3.0746771587679409</v>
      </c>
      <c r="X19" s="245">
        <f t="shared" ref="X19" si="24">$B19*W19</f>
        <v>46.120157381519114</v>
      </c>
    </row>
    <row r="20" spans="1:24" ht="15.5">
      <c r="A20" s="4" t="s">
        <v>21</v>
      </c>
      <c r="B20" s="8">
        <v>17</v>
      </c>
      <c r="C20" s="232">
        <f>1+((('Planilha de Dados'!J7-MIN('Planilha de Dados'!$J$7:$AB$7))/(MAX('Planilha de Dados'!$J$7:$AB$7)-MIN('Planilha de Dados'!$J$7:$AB$7)))*4)</f>
        <v>5</v>
      </c>
      <c r="D20" s="233">
        <f t="shared" si="0"/>
        <v>85</v>
      </c>
      <c r="E20" s="232">
        <f>1+((('Planilha de Dados'!L7-MIN('Planilha de Dados'!$J$7:$AB$7))/(MAX('Planilha de Dados'!$J$7:$AB$7)-MIN('Planilha de Dados'!$J$7:$AB$7)))*4)</f>
        <v>5</v>
      </c>
      <c r="F20" s="233">
        <f t="shared" ref="F20" si="25">$B20*E20</f>
        <v>85</v>
      </c>
      <c r="G20" s="232">
        <f>1+((('Planilha de Dados'!N7-MIN('Planilha de Dados'!$J$7:$AB$7))/(MAX('Planilha de Dados'!$J$7:$AB$7)-MIN('Planilha de Dados'!$J$7:$AB$7)))*4)</f>
        <v>3</v>
      </c>
      <c r="H20" s="233">
        <f t="shared" ref="H20:J20" si="26">$B20*G20</f>
        <v>51</v>
      </c>
      <c r="I20" s="232">
        <f>1+((('Planilha de Dados'!P7-MIN('Planilha de Dados'!$J$7:$AB$7))/(MAX('Planilha de Dados'!$J$7:$AB$7)-MIN('Planilha de Dados'!$J$7:$AB$7)))*4)</f>
        <v>5</v>
      </c>
      <c r="J20" s="233">
        <f t="shared" si="26"/>
        <v>85</v>
      </c>
      <c r="K20" s="244">
        <f>1+((('Planilha de Dados'!R7-MIN('Planilha de Dados'!$J$7:$AB$7))/(MAX('Planilha de Dados'!$J$7:$AB$7)-MIN('Planilha de Dados'!$J$7:$AB$7)))*4)</f>
        <v>5</v>
      </c>
      <c r="L20" s="245">
        <f t="shared" ref="L20:N20" si="27">$B20*K20</f>
        <v>85</v>
      </c>
      <c r="M20" s="244">
        <f>1+((('Planilha de Dados'!T7-MIN('Planilha de Dados'!$J$7:$AB$7))/(MAX('Planilha de Dados'!$J$7:$AB$7)-MIN('Planilha de Dados'!$J$7:$AB$7)))*4)</f>
        <v>3</v>
      </c>
      <c r="N20" s="245">
        <f t="shared" si="27"/>
        <v>51</v>
      </c>
      <c r="O20" s="244">
        <f>1+((('Planilha de Dados'!V7-MIN('Planilha de Dados'!$J$7:$AB$7))/(MAX('Planilha de Dados'!$J$7:$AB$7)-MIN('Planilha de Dados'!$J$7:$AB$7)))*4)</f>
        <v>2</v>
      </c>
      <c r="P20" s="245">
        <f t="shared" ref="P20" si="28">$B20*O20</f>
        <v>34</v>
      </c>
      <c r="Q20" s="244">
        <f>1+((('Planilha de Dados'!X7-MIN('Planilha de Dados'!$J$7:$AB$7))/(MAX('Planilha de Dados'!$J$7:$AB$7)-MIN('Planilha de Dados'!$J$7:$AB$7)))*4)</f>
        <v>5</v>
      </c>
      <c r="R20" s="245">
        <f t="shared" ref="R20" si="29">$B20*Q20</f>
        <v>85</v>
      </c>
      <c r="S20" s="244">
        <f>1+((('Planilha de Dados'!Z7-MIN('Planilha de Dados'!$J$7:$AB$7))/(MAX('Planilha de Dados'!$J$7:$AB$7)-MIN('Planilha de Dados'!$J$7:$AB$7)))*4)</f>
        <v>1</v>
      </c>
      <c r="T20" s="245">
        <f t="shared" ref="T20" si="30">$B20*S20</f>
        <v>17</v>
      </c>
      <c r="U20" s="244">
        <f>1+((('Planilha de Dados'!AB7-MIN('Planilha de Dados'!$J$7:$AB$7))/(MAX('Planilha de Dados'!$J$7:$AB$7)-MIN('Planilha de Dados'!$J$7:$AB$7)))*4)</f>
        <v>5</v>
      </c>
      <c r="V20" s="245">
        <f t="shared" ref="V20" si="31">$B20*U20</f>
        <v>85</v>
      </c>
      <c r="W20" s="244">
        <f>1+((('Planilha de Dados'!AD7-MIN('Planilha de Dados'!$J$7:$AB$7))/(MAX('Planilha de Dados'!$J$7:$AB$7)-MIN('Planilha de Dados'!$J$7:$AB$7)))*4)</f>
        <v>2</v>
      </c>
      <c r="X20" s="245">
        <f t="shared" ref="X20" si="32">$B20*W20</f>
        <v>34</v>
      </c>
    </row>
    <row r="21" spans="1:24" ht="16" thickBot="1">
      <c r="A21" s="4" t="s">
        <v>14</v>
      </c>
      <c r="B21" s="8">
        <v>22</v>
      </c>
      <c r="C21" s="234">
        <f>1+(((MAX('Planilha de Dados'!$G$8:$AW$8)-'Planilha de Dados'!J8)/(MAX('Planilha de Dados'!$G$8:$AW$8)-MIN('Planilha de Dados'!$G$8:$AW8)))*4)</f>
        <v>4.7884914463452564</v>
      </c>
      <c r="D21" s="233">
        <f t="shared" si="0"/>
        <v>105.34681181959564</v>
      </c>
      <c r="E21" s="234">
        <f>1+(((MAX('Planilha de Dados'!$G$8:$AW$8)-'Planilha de Dados'!L8)/(MAX('Planilha de Dados'!$G$8:$AW$8)-MIN('Planilha de Dados'!$G$8:$AW8)))*4)</f>
        <v>4.3903576982892689</v>
      </c>
      <c r="F21" s="233">
        <f t="shared" ref="F21" si="33">$B21*E21</f>
        <v>96.587869362363918</v>
      </c>
      <c r="G21" s="234">
        <f>1+(((MAX('Planilha de Dados'!$G$8:$AW$8)-'Planilha de Dados'!N8)/(MAX('Planilha de Dados'!$G$8:$AW$8)-MIN('Planilha de Dados'!$G$8:$AW8)))*4)</f>
        <v>5</v>
      </c>
      <c r="H21" s="233">
        <f t="shared" ref="H21:J21" si="34">$B21*G21</f>
        <v>110</v>
      </c>
      <c r="I21" s="234">
        <f>1+(((MAX('Planilha de Dados'!$G$8:$AW$8)-'Planilha de Dados'!P8)/(MAX('Planilha de Dados'!$G$8:$AW$8)-MIN('Planilha de Dados'!$G$8:$AW8)))*4)</f>
        <v>4.2037325038880251</v>
      </c>
      <c r="J21" s="233">
        <f t="shared" si="34"/>
        <v>92.482115085536549</v>
      </c>
      <c r="K21" s="244">
        <f>1+(((MAX('Planilha de Dados'!$G$8:$AW$8)-'Planilha de Dados'!R8)/(MAX('Planilha de Dados'!$G$8:$AW$8)-MIN('Planilha de Dados'!$G$8:$AW8)))*4)</f>
        <v>1</v>
      </c>
      <c r="L21" s="246">
        <f t="shared" ref="L21:N21" si="35">$B21*K21</f>
        <v>22</v>
      </c>
      <c r="M21" s="244">
        <f>1+(((MAX('Planilha de Dados'!$G$8:$AW$8)-'Planilha de Dados'!T8)/(MAX('Planilha de Dados'!$G$8:$AW$8)-MIN('Planilha de Dados'!$G$8:$AW8)))*4)</f>
        <v>1</v>
      </c>
      <c r="N21" s="246">
        <f t="shared" si="35"/>
        <v>22</v>
      </c>
      <c r="O21" s="244">
        <f>1+(((MAX('Planilha de Dados'!$G$8:$AW$8)-'Planilha de Dados'!V8)/(MAX('Planilha de Dados'!$G$8:$AW$8)-MIN('Planilha de Dados'!$G$8:$AW8)))*4)</f>
        <v>1</v>
      </c>
      <c r="P21" s="246">
        <f t="shared" ref="P21" si="36">$B21*O21</f>
        <v>22</v>
      </c>
      <c r="Q21" s="244">
        <f>1+(((MAX('Planilha de Dados'!$G$8:$AW$8)-'Planilha de Dados'!X8)/(MAX('Planilha de Dados'!$G$8:$AW$8)-MIN('Planilha de Dados'!$G$8:$AW8)))*4)</f>
        <v>1</v>
      </c>
      <c r="R21" s="246">
        <f t="shared" ref="R21" si="37">$B21*Q21</f>
        <v>22</v>
      </c>
      <c r="S21" s="244">
        <f>1+(((MAX('Planilha de Dados'!$G$8:$AW$8)-'Planilha de Dados'!Z8)/(MAX('Planilha de Dados'!$G$8:$AW$8)-MIN('Planilha de Dados'!$G$8:$AW8)))*4)</f>
        <v>3.08398133748056</v>
      </c>
      <c r="T21" s="246">
        <f t="shared" ref="T21" si="38">$B21*S21</f>
        <v>67.84758942457232</v>
      </c>
      <c r="U21" s="244">
        <f>1+(((MAX('Planilha de Dados'!$G$8:$AW$8)-'Planilha de Dados'!AB8)/(MAX('Planilha de Dados'!$G$8:$AW$8)-MIN('Planilha de Dados'!$G$8:$AW8)))*4)</f>
        <v>4.2037325038880251</v>
      </c>
      <c r="V21" s="246">
        <f t="shared" ref="V21" si="39">$B21*U21</f>
        <v>92.482115085536549</v>
      </c>
      <c r="W21" s="244">
        <f>1+(((MAX('Planilha de Dados'!$G$8:$AW$8)-'Planilha de Dados'!AD8)/(MAX('Planilha de Dados'!$G$8:$AW$8)-MIN('Planilha de Dados'!$G$8:$AW8)))*4)</f>
        <v>1</v>
      </c>
      <c r="X21" s="246">
        <f t="shared" ref="X21" si="40">$B21*W21</f>
        <v>22</v>
      </c>
    </row>
    <row r="22" spans="1:24" ht="15.5">
      <c r="A22" s="251" t="s">
        <v>349</v>
      </c>
      <c r="B22" s="252">
        <f t="shared" ref="B22:V22" si="41">SUM(B16:B21)</f>
        <v>100</v>
      </c>
      <c r="C22" s="249">
        <f t="shared" si="41"/>
        <v>29.788491446345255</v>
      </c>
      <c r="D22" s="235">
        <f t="shared" si="41"/>
        <v>495.34681181959564</v>
      </c>
      <c r="E22" s="249">
        <f t="shared" si="41"/>
        <v>18.455172567615641</v>
      </c>
      <c r="F22" s="235">
        <f t="shared" si="41"/>
        <v>321.5600924022595</v>
      </c>
      <c r="G22" s="235">
        <f t="shared" si="41"/>
        <v>23.130121461909759</v>
      </c>
      <c r="H22" s="235">
        <f t="shared" si="41"/>
        <v>401.68384807243729</v>
      </c>
      <c r="I22" s="235">
        <f t="shared" ref="I22" si="42">SUM(I16:I21)</f>
        <v>17.783973194788793</v>
      </c>
      <c r="J22" s="235">
        <f t="shared" si="41"/>
        <v>308.8223267562376</v>
      </c>
      <c r="K22" s="250">
        <f t="shared" si="41"/>
        <v>18.191607940502671</v>
      </c>
      <c r="L22" s="248">
        <f t="shared" si="41"/>
        <v>281.97215832322638</v>
      </c>
      <c r="M22" s="250">
        <f t="shared" si="41"/>
        <v>18.673574248152494</v>
      </c>
      <c r="N22" s="248">
        <f t="shared" si="41"/>
        <v>287.39773136934622</v>
      </c>
      <c r="O22" s="250">
        <f t="shared" si="41"/>
        <v>16.841962354568768</v>
      </c>
      <c r="P22" s="248">
        <f t="shared" si="41"/>
        <v>257.14577518781255</v>
      </c>
      <c r="Q22" s="250">
        <f t="shared" si="41"/>
        <v>17.327758175244455</v>
      </c>
      <c r="R22" s="248">
        <f t="shared" si="41"/>
        <v>265.68107851101979</v>
      </c>
      <c r="S22" s="250">
        <f t="shared" si="41"/>
        <v>14.111892595880635</v>
      </c>
      <c r="T22" s="248">
        <f t="shared" si="41"/>
        <v>249.41658509795906</v>
      </c>
      <c r="U22" s="250">
        <f t="shared" si="41"/>
        <v>16.577953729313798</v>
      </c>
      <c r="V22" s="248">
        <f t="shared" si="41"/>
        <v>290.73203477411266</v>
      </c>
      <c r="W22" s="247">
        <f t="shared" ref="W22:X22" si="43">SUM(W16:W21)</f>
        <v>12.429827669676529</v>
      </c>
      <c r="X22" s="248">
        <f t="shared" si="43"/>
        <v>187.20427779024598</v>
      </c>
    </row>
    <row r="23" spans="1:24">
      <c r="A23" s="6" t="s">
        <v>2</v>
      </c>
      <c r="B23" s="7" t="s">
        <v>3</v>
      </c>
      <c r="C23" s="208" t="s">
        <v>4</v>
      </c>
      <c r="D23" s="209"/>
      <c r="E23" s="210" t="s">
        <v>5</v>
      </c>
      <c r="F23" s="210"/>
      <c r="G23" s="210" t="s">
        <v>6</v>
      </c>
      <c r="H23" s="210"/>
      <c r="I23" s="210" t="s">
        <v>7</v>
      </c>
      <c r="J23" s="210"/>
    </row>
  </sheetData>
  <mergeCells count="20">
    <mergeCell ref="W6:X6"/>
    <mergeCell ref="K13:X13"/>
    <mergeCell ref="C12:J12"/>
    <mergeCell ref="B7:C7"/>
    <mergeCell ref="B8:C8"/>
    <mergeCell ref="B9:C9"/>
    <mergeCell ref="C13:H13"/>
    <mergeCell ref="C23:D23"/>
    <mergeCell ref="I23:J23"/>
    <mergeCell ref="E23:F23"/>
    <mergeCell ref="G23:H23"/>
    <mergeCell ref="B4:V4"/>
    <mergeCell ref="K6:L6"/>
    <mergeCell ref="E6:F6"/>
    <mergeCell ref="C6:D6"/>
    <mergeCell ref="M6:N6"/>
    <mergeCell ref="O6:P6"/>
    <mergeCell ref="Q6:R6"/>
    <mergeCell ref="S6:T6"/>
    <mergeCell ref="U6:V6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85FE-4460-4E53-84D5-ED167C594B6D}">
  <sheetPr>
    <tabColor rgb="FFFF0000"/>
  </sheetPr>
  <dimension ref="A1:AU87"/>
  <sheetViews>
    <sheetView topLeftCell="A39" zoomScale="40" zoomScaleNormal="40" workbookViewId="0">
      <selection activeCell="A86" sqref="A86:I86"/>
    </sheetView>
  </sheetViews>
  <sheetFormatPr defaultColWidth="9.1796875" defaultRowHeight="14.5"/>
  <cols>
    <col min="1" max="1" width="9.7265625" style="91" bestFit="1" customWidth="1"/>
    <col min="2" max="2" width="44.1796875" style="91" customWidth="1"/>
    <col min="3" max="3" width="127.54296875" style="91" customWidth="1"/>
    <col min="4" max="4" width="11.26953125" style="91" customWidth="1"/>
    <col min="5" max="5" width="10.54296875" style="91" customWidth="1"/>
    <col min="6" max="6" width="11.1796875" style="91" bestFit="1" customWidth="1"/>
    <col min="7" max="7" width="20.7265625" style="91" customWidth="1"/>
    <col min="8" max="8" width="9.26953125" style="91" bestFit="1" customWidth="1"/>
    <col min="9" max="9" width="24.54296875" style="91" customWidth="1"/>
    <col min="10" max="10" width="27.453125" style="91" bestFit="1" customWidth="1"/>
    <col min="11" max="11" width="15.453125" style="91" customWidth="1"/>
    <col min="12" max="12" width="14.7265625" style="91" customWidth="1"/>
    <col min="13" max="13" width="21" style="91" bestFit="1" customWidth="1"/>
    <col min="14" max="14" width="13" style="91" customWidth="1"/>
    <col min="15" max="15" width="16.26953125" style="91" bestFit="1" customWidth="1"/>
    <col min="16" max="16" width="14.7265625" style="91" bestFit="1" customWidth="1"/>
    <col min="17" max="17" width="13.54296875" style="91" bestFit="1" customWidth="1"/>
    <col min="18" max="18" width="9.1796875" style="91"/>
    <col min="19" max="19" width="10.26953125" style="91" bestFit="1" customWidth="1"/>
    <col min="20" max="21" width="9.453125" style="91" bestFit="1" customWidth="1"/>
    <col min="22" max="22" width="9.1796875" style="91"/>
    <col min="23" max="24" width="10.1796875" style="91" bestFit="1" customWidth="1"/>
    <col min="25" max="27" width="9.26953125" style="91" bestFit="1" customWidth="1"/>
    <col min="28" max="16384" width="9.1796875" style="91"/>
  </cols>
  <sheetData>
    <row r="1" spans="1:47">
      <c r="A1" s="89" t="s">
        <v>30</v>
      </c>
      <c r="B1" s="90" t="s">
        <v>31</v>
      </c>
      <c r="J1" s="92" t="s">
        <v>32</v>
      </c>
      <c r="K1" s="93">
        <v>2</v>
      </c>
      <c r="M1" s="94" t="s">
        <v>33</v>
      </c>
      <c r="N1" s="95">
        <f>N57+I79+I87</f>
        <v>398.53056166527858</v>
      </c>
    </row>
    <row r="2" spans="1:47">
      <c r="A2" s="96" t="s">
        <v>34</v>
      </c>
      <c r="B2" s="97" t="s">
        <v>138</v>
      </c>
      <c r="M2" s="94" t="s">
        <v>36</v>
      </c>
      <c r="N2" s="98">
        <v>1</v>
      </c>
    </row>
    <row r="3" spans="1:47">
      <c r="A3" s="96" t="s">
        <v>37</v>
      </c>
      <c r="B3" s="90" t="s">
        <v>139</v>
      </c>
      <c r="D3" s="178" t="s">
        <v>311</v>
      </c>
      <c r="E3" s="178" t="s">
        <v>322</v>
      </c>
      <c r="G3" s="91">
        <f>1.93/1.2</f>
        <v>1.6083333333333334</v>
      </c>
      <c r="J3" s="96" t="s">
        <v>39</v>
      </c>
      <c r="K3" s="100" t="s">
        <v>40</v>
      </c>
    </row>
    <row r="4" spans="1:47">
      <c r="A4" s="96" t="s">
        <v>41</v>
      </c>
      <c r="B4" s="90" t="s">
        <v>140</v>
      </c>
      <c r="J4" s="96" t="s">
        <v>42</v>
      </c>
      <c r="K4" s="100" t="s">
        <v>43</v>
      </c>
      <c r="M4" s="94" t="s">
        <v>44</v>
      </c>
      <c r="N4" s="95">
        <f>N1*N2</f>
        <v>398.53056166527858</v>
      </c>
    </row>
    <row r="5" spans="1:47">
      <c r="A5" s="96" t="s">
        <v>45</v>
      </c>
      <c r="B5" s="90" t="s">
        <v>141</v>
      </c>
      <c r="G5" s="91">
        <f>1.96/1.2</f>
        <v>1.6333333333333333</v>
      </c>
      <c r="J5" s="96" t="s">
        <v>47</v>
      </c>
      <c r="K5" s="23" t="s">
        <v>142</v>
      </c>
    </row>
    <row r="6" spans="1:47">
      <c r="A6" s="96" t="s">
        <v>49</v>
      </c>
      <c r="B6" s="90" t="s">
        <v>50</v>
      </c>
    </row>
    <row r="7" spans="1:47">
      <c r="A7" s="89" t="s">
        <v>51</v>
      </c>
      <c r="B7" s="90" t="s">
        <v>143</v>
      </c>
    </row>
    <row r="9" spans="1:47">
      <c r="A9" s="101" t="s">
        <v>53</v>
      </c>
      <c r="B9" s="101" t="s">
        <v>54</v>
      </c>
      <c r="C9" s="101" t="s">
        <v>55</v>
      </c>
      <c r="D9" s="102" t="s">
        <v>144</v>
      </c>
      <c r="E9" s="101" t="s">
        <v>57</v>
      </c>
      <c r="F9" s="101" t="s">
        <v>58</v>
      </c>
      <c r="G9" s="101" t="s">
        <v>59</v>
      </c>
      <c r="H9" s="101" t="s">
        <v>60</v>
      </c>
      <c r="I9" s="101" t="s">
        <v>61</v>
      </c>
      <c r="J9" s="101" t="s">
        <v>62</v>
      </c>
      <c r="K9" s="103" t="s">
        <v>63</v>
      </c>
      <c r="L9" s="101" t="s">
        <v>64</v>
      </c>
      <c r="M9" s="101" t="s">
        <v>65</v>
      </c>
      <c r="N9" s="101" t="s">
        <v>66</v>
      </c>
    </row>
    <row r="10" spans="1:47" s="99" customFormat="1">
      <c r="A10" s="105" t="s">
        <v>67</v>
      </c>
      <c r="B10" s="106" t="s">
        <v>145</v>
      </c>
      <c r="C10" s="106" t="s">
        <v>146</v>
      </c>
      <c r="D10" s="107">
        <f>IF($E$3="Aluminio",4.2,IF($E$3="Titanio",22,2.25))</f>
        <v>2.25</v>
      </c>
      <c r="E10" s="108">
        <f>J10*K10*L10</f>
        <v>0.27526558800000001</v>
      </c>
      <c r="F10" s="109" t="s">
        <v>68</v>
      </c>
      <c r="G10" s="109"/>
      <c r="H10" s="109"/>
      <c r="I10" s="105" t="s">
        <v>147</v>
      </c>
      <c r="J10" s="108">
        <f>IF($E$3="Aluminio",0.00011239*1.46,IF($E$3="Titanio",0.00011239*0.4,IF($E$3="Inox",0.00011239*1.61,0.00011239)))</f>
        <v>1.1239E-4</v>
      </c>
      <c r="K10" s="108">
        <v>0.312</v>
      </c>
      <c r="L10" s="110">
        <f>IF(OR($E$3="Aço",$E$3="Inox"),7850,IF($E$3="Titanio",4500,2712))</f>
        <v>7850</v>
      </c>
      <c r="M10" s="111">
        <v>5</v>
      </c>
      <c r="N10" s="107">
        <f>D10*E10*M10</f>
        <v>3.0967378649999997</v>
      </c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</row>
    <row r="11" spans="1:47" s="99" customFormat="1">
      <c r="A11" s="105" t="s">
        <v>148</v>
      </c>
      <c r="B11" s="106" t="s">
        <v>145</v>
      </c>
      <c r="C11" s="106" t="s">
        <v>149</v>
      </c>
      <c r="D11" s="107">
        <f t="shared" ref="D11:D56" si="0">IF($E$3="Aluminio",4.2,IF($E$3="Titanio",22,2.25))</f>
        <v>2.25</v>
      </c>
      <c r="E11" s="108">
        <f t="shared" ref="E11:E18" si="1">J11*K11*L11</f>
        <v>0.29132803034999999</v>
      </c>
      <c r="F11" s="109" t="s">
        <v>68</v>
      </c>
      <c r="G11" s="109"/>
      <c r="H11" s="109"/>
      <c r="I11" s="105" t="s">
        <v>150</v>
      </c>
      <c r="J11" s="108">
        <f>IF($E$3="Aluminio",0.00009135*3.04,IF($E$3="Titanio",0.00009135/(1.2/0.48),IF($E$3="Inox",0.00009135*1.63,0.00009135)))</f>
        <v>9.1349999999999998E-5</v>
      </c>
      <c r="K11" s="108">
        <v>0.40626000000000001</v>
      </c>
      <c r="L11" s="110">
        <f t="shared" ref="L11:L56" si="2">IF(OR($E$3="Aço",$E$3="Inox"),7850,IF($E$3="Titanio",4500,2712))</f>
        <v>7850</v>
      </c>
      <c r="M11" s="105">
        <v>2</v>
      </c>
      <c r="N11" s="107">
        <f t="shared" ref="N11:N18" si="3">D11*E11*M11</f>
        <v>1.3109761365749999</v>
      </c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</row>
    <row r="12" spans="1:47" s="99" customFormat="1">
      <c r="A12" s="105" t="s">
        <v>151</v>
      </c>
      <c r="B12" s="106" t="s">
        <v>145</v>
      </c>
      <c r="C12" s="106" t="s">
        <v>152</v>
      </c>
      <c r="D12" s="107">
        <f t="shared" si="0"/>
        <v>2.25</v>
      </c>
      <c r="E12" s="108">
        <f t="shared" si="1"/>
        <v>0.43073895532500001</v>
      </c>
      <c r="F12" s="109" t="s">
        <v>68</v>
      </c>
      <c r="G12" s="109"/>
      <c r="H12" s="109"/>
      <c r="I12" s="105" t="s">
        <v>150</v>
      </c>
      <c r="J12" s="108">
        <f t="shared" ref="J12:J15" si="4">IF($E$3="Aluminio",0.00009135*3.04,IF($E$3="Titanio",0.00009135/(1.2/0.48),IF($E$3="Inox",0.00009135*1.63,0.00009135)))</f>
        <v>9.1349999999999998E-5</v>
      </c>
      <c r="K12" s="108">
        <v>0.60067000000000004</v>
      </c>
      <c r="L12" s="110">
        <f t="shared" si="2"/>
        <v>7850</v>
      </c>
      <c r="M12" s="105">
        <v>2</v>
      </c>
      <c r="N12" s="107">
        <f t="shared" si="3"/>
        <v>1.9383252989624999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</row>
    <row r="13" spans="1:47" s="99" customFormat="1">
      <c r="A13" s="105" t="s">
        <v>153</v>
      </c>
      <c r="B13" s="106" t="s">
        <v>145</v>
      </c>
      <c r="C13" s="106" t="s">
        <v>154</v>
      </c>
      <c r="D13" s="107">
        <f t="shared" si="0"/>
        <v>2.25</v>
      </c>
      <c r="E13" s="108">
        <f t="shared" si="1"/>
        <v>0.27672075427500004</v>
      </c>
      <c r="F13" s="109" t="s">
        <v>68</v>
      </c>
      <c r="G13" s="109"/>
      <c r="H13" s="109"/>
      <c r="I13" s="105" t="s">
        <v>150</v>
      </c>
      <c r="J13" s="108">
        <f t="shared" si="4"/>
        <v>9.1349999999999998E-5</v>
      </c>
      <c r="K13" s="108">
        <v>0.38589000000000001</v>
      </c>
      <c r="L13" s="110">
        <f t="shared" si="2"/>
        <v>7850</v>
      </c>
      <c r="M13" s="105">
        <v>2</v>
      </c>
      <c r="N13" s="107">
        <f t="shared" si="3"/>
        <v>1.2452433942375001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</row>
    <row r="14" spans="1:47" s="99" customFormat="1" ht="15.65" customHeight="1">
      <c r="A14" s="105" t="s">
        <v>155</v>
      </c>
      <c r="B14" s="106" t="s">
        <v>145</v>
      </c>
      <c r="C14" s="106" t="s">
        <v>156</v>
      </c>
      <c r="D14" s="107">
        <f t="shared" si="0"/>
        <v>2.25</v>
      </c>
      <c r="E14" s="108">
        <f t="shared" si="1"/>
        <v>0.18111014459999999</v>
      </c>
      <c r="F14" s="109" t="s">
        <v>68</v>
      </c>
      <c r="G14" s="109"/>
      <c r="H14" s="109"/>
      <c r="I14" s="105" t="s">
        <v>150</v>
      </c>
      <c r="J14" s="108">
        <f t="shared" si="4"/>
        <v>9.1349999999999998E-5</v>
      </c>
      <c r="K14" s="108">
        <v>0.25256000000000001</v>
      </c>
      <c r="L14" s="110">
        <f t="shared" si="2"/>
        <v>7850</v>
      </c>
      <c r="M14" s="105">
        <v>2</v>
      </c>
      <c r="N14" s="107">
        <f t="shared" si="3"/>
        <v>0.81499565070000002</v>
      </c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</row>
    <row r="15" spans="1:47" s="99" customFormat="1" ht="15.65" customHeight="1">
      <c r="A15" s="105" t="s">
        <v>157</v>
      </c>
      <c r="B15" s="106" t="s">
        <v>145</v>
      </c>
      <c r="C15" s="106" t="s">
        <v>158</v>
      </c>
      <c r="D15" s="107">
        <f t="shared" si="0"/>
        <v>2.25</v>
      </c>
      <c r="E15" s="108">
        <f t="shared" si="1"/>
        <v>0.17585381992499999</v>
      </c>
      <c r="F15" s="109" t="s">
        <v>68</v>
      </c>
      <c r="G15" s="109"/>
      <c r="H15" s="109"/>
      <c r="I15" s="105" t="s">
        <v>150</v>
      </c>
      <c r="J15" s="108">
        <f t="shared" si="4"/>
        <v>9.1349999999999998E-5</v>
      </c>
      <c r="K15" s="108">
        <v>0.24523</v>
      </c>
      <c r="L15" s="110">
        <f t="shared" si="2"/>
        <v>7850</v>
      </c>
      <c r="M15" s="105">
        <v>2</v>
      </c>
      <c r="N15" s="107">
        <f t="shared" si="3"/>
        <v>0.79134218966249992</v>
      </c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</row>
    <row r="16" spans="1:47" s="99" customFormat="1" ht="16.899999999999999" customHeight="1">
      <c r="A16" s="105" t="s">
        <v>159</v>
      </c>
      <c r="B16" s="106" t="s">
        <v>145</v>
      </c>
      <c r="C16" s="106" t="s">
        <v>160</v>
      </c>
      <c r="D16" s="107">
        <f t="shared" si="0"/>
        <v>2.25</v>
      </c>
      <c r="E16" s="108">
        <f t="shared" si="1"/>
        <v>5.7505394800000005E-2</v>
      </c>
      <c r="F16" s="109" t="s">
        <v>68</v>
      </c>
      <c r="G16" s="109"/>
      <c r="H16" s="109"/>
      <c r="I16" s="105" t="s">
        <v>161</v>
      </c>
      <c r="J16" s="108">
        <f>IF($E$3="Aluminio",0.00003563*3.04,IF($E$3="Titanio",0.00003563/(1.2/0.48),IF($E$3="Inox",0.00003563*1.63,0.00003563)))</f>
        <v>3.5630000000000003E-5</v>
      </c>
      <c r="K16" s="108">
        <v>0.2056</v>
      </c>
      <c r="L16" s="110">
        <f t="shared" si="2"/>
        <v>7850</v>
      </c>
      <c r="M16" s="105">
        <v>2</v>
      </c>
      <c r="N16" s="107">
        <f t="shared" si="3"/>
        <v>0.25877427660000002</v>
      </c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</row>
    <row r="17" spans="1:47" s="99" customFormat="1" ht="15.65" customHeight="1">
      <c r="A17" s="105" t="s">
        <v>162</v>
      </c>
      <c r="B17" s="106" t="s">
        <v>145</v>
      </c>
      <c r="C17" s="106" t="s">
        <v>163</v>
      </c>
      <c r="D17" s="107">
        <f t="shared" si="0"/>
        <v>2.25</v>
      </c>
      <c r="E17" s="108">
        <f>J17*K17*L17</f>
        <v>0.54611986849999994</v>
      </c>
      <c r="F17" s="109" t="s">
        <v>68</v>
      </c>
      <c r="G17" s="109"/>
      <c r="H17" s="109"/>
      <c r="I17" s="105" t="s">
        <v>147</v>
      </c>
      <c r="J17" s="108">
        <f>IF($E$3="Aluminio",0.00011239*1.46,IF($E$3="Titanio",0.00011239*0.4,IF($E$3="Inox",0.00011239*1.61,0.00011239)))</f>
        <v>1.1239E-4</v>
      </c>
      <c r="K17" s="108">
        <v>0.61899999999999999</v>
      </c>
      <c r="L17" s="110">
        <f t="shared" si="2"/>
        <v>7850</v>
      </c>
      <c r="M17" s="105">
        <v>2</v>
      </c>
      <c r="N17" s="107">
        <f>D17*E17*M17</f>
        <v>2.4575394082499997</v>
      </c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</row>
    <row r="18" spans="1:47" s="99" customFormat="1">
      <c r="A18" s="105" t="s">
        <v>164</v>
      </c>
      <c r="B18" s="106" t="s">
        <v>145</v>
      </c>
      <c r="C18" s="106" t="s">
        <v>165</v>
      </c>
      <c r="D18" s="107">
        <f t="shared" si="0"/>
        <v>2.25</v>
      </c>
      <c r="E18" s="108">
        <f t="shared" si="1"/>
        <v>0.11668696242</v>
      </c>
      <c r="F18" s="109" t="s">
        <v>68</v>
      </c>
      <c r="G18" s="109"/>
      <c r="H18" s="109"/>
      <c r="I18" s="105" t="s">
        <v>166</v>
      </c>
      <c r="J18" s="108">
        <f>IF($E$3="Aluminio",0.00006926*3.04,IF($E$3="Titanio",0.00006926/(1.2/0.48),IF($E$3="Inox",0.00006926*1.63,0.00006926)))</f>
        <v>6.9259999999999998E-5</v>
      </c>
      <c r="K18" s="113">
        <v>0.21462000000000001</v>
      </c>
      <c r="L18" s="110">
        <f t="shared" si="2"/>
        <v>7850</v>
      </c>
      <c r="M18" s="105">
        <v>2</v>
      </c>
      <c r="N18" s="107">
        <f t="shared" si="3"/>
        <v>0.52509133089000004</v>
      </c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</row>
    <row r="19" spans="1:47" s="99" customFormat="1" ht="15" customHeight="1">
      <c r="A19" s="105" t="s">
        <v>167</v>
      </c>
      <c r="B19" s="106" t="s">
        <v>145</v>
      </c>
      <c r="C19" s="106" t="s">
        <v>168</v>
      </c>
      <c r="D19" s="107">
        <f t="shared" si="0"/>
        <v>2.25</v>
      </c>
      <c r="E19" s="108">
        <f>J19*K19*L19</f>
        <v>0.12018289555</v>
      </c>
      <c r="F19" s="109" t="s">
        <v>68</v>
      </c>
      <c r="G19" s="109"/>
      <c r="H19" s="109"/>
      <c r="I19" s="105" t="s">
        <v>166</v>
      </c>
      <c r="J19" s="108">
        <f t="shared" ref="J19:J20" si="5">IF($E$3="Aluminio",0.00006926*3.04,IF($E$3="Titanio",0.00006926/(1.2/0.48),IF($E$3="Inox",0.00006926*1.63,0.00006926)))</f>
        <v>6.9259999999999998E-5</v>
      </c>
      <c r="K19" s="108">
        <v>0.22105</v>
      </c>
      <c r="L19" s="110">
        <f t="shared" si="2"/>
        <v>7850</v>
      </c>
      <c r="M19" s="105">
        <v>2</v>
      </c>
      <c r="N19" s="107">
        <f>D19*E19*M19</f>
        <v>0.54082302997499998</v>
      </c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</row>
    <row r="20" spans="1:47" s="99" customFormat="1">
      <c r="A20" s="105" t="s">
        <v>169</v>
      </c>
      <c r="B20" s="106" t="s">
        <v>145</v>
      </c>
      <c r="C20" s="106" t="s">
        <v>170</v>
      </c>
      <c r="D20" s="107">
        <f t="shared" si="0"/>
        <v>2.25</v>
      </c>
      <c r="E20" s="108">
        <f>J20*K20*L20</f>
        <v>5.7930276050000007E-2</v>
      </c>
      <c r="F20" s="109" t="s">
        <v>68</v>
      </c>
      <c r="G20" s="109"/>
      <c r="H20" s="109"/>
      <c r="I20" s="105" t="s">
        <v>166</v>
      </c>
      <c r="J20" s="108">
        <f t="shared" si="5"/>
        <v>6.9259999999999998E-5</v>
      </c>
      <c r="K20" s="108">
        <v>0.10655000000000001</v>
      </c>
      <c r="L20" s="110">
        <f t="shared" si="2"/>
        <v>7850</v>
      </c>
      <c r="M20" s="105">
        <v>2</v>
      </c>
      <c r="N20" s="107">
        <f>D20*E20*M20</f>
        <v>0.26068624222500003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</row>
    <row r="21" spans="1:47" s="99" customFormat="1">
      <c r="A21" s="105" t="s">
        <v>171</v>
      </c>
      <c r="B21" s="106" t="s">
        <v>145</v>
      </c>
      <c r="C21" s="106" t="s">
        <v>172</v>
      </c>
      <c r="D21" s="107">
        <f t="shared" si="0"/>
        <v>2.25</v>
      </c>
      <c r="E21" s="108">
        <f>J21*K21*L21</f>
        <v>1.9766609604000001</v>
      </c>
      <c r="F21" s="109" t="s">
        <v>68</v>
      </c>
      <c r="G21" s="109"/>
      <c r="H21" s="109"/>
      <c r="I21" s="105" t="s">
        <v>173</v>
      </c>
      <c r="J21" s="108">
        <f>IF($E$3="Aluminio",0.00017361*3.04,IF($E$3="Titanio",0.00017361/(1.2/0.48),IF($E$3="Inox",0.00017361*1.63,0.00017361)))</f>
        <v>1.7361000000000001E-4</v>
      </c>
      <c r="K21" s="108">
        <v>1.4503999999999999</v>
      </c>
      <c r="L21" s="110">
        <f t="shared" si="2"/>
        <v>7850</v>
      </c>
      <c r="M21" s="105">
        <v>1</v>
      </c>
      <c r="N21" s="107">
        <f>D21*E21*M21</f>
        <v>4.4474871608999997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</row>
    <row r="22" spans="1:47" s="99" customFormat="1">
      <c r="A22" s="105" t="s">
        <v>174</v>
      </c>
      <c r="B22" s="106" t="s">
        <v>145</v>
      </c>
      <c r="C22" s="106" t="s">
        <v>175</v>
      </c>
      <c r="D22" s="107">
        <f t="shared" si="0"/>
        <v>2.25</v>
      </c>
      <c r="E22" s="108">
        <f>J22*K22*L22</f>
        <v>8.7181087350000006E-2</v>
      </c>
      <c r="F22" s="109" t="s">
        <v>68</v>
      </c>
      <c r="G22" s="109"/>
      <c r="H22" s="109"/>
      <c r="I22" s="105" t="s">
        <v>161</v>
      </c>
      <c r="J22" s="108">
        <f>IF($E$3="Aluminio",0.00003563*3.04,IF($E$3="Titanio",0.00003563/(1.2/0.48),IF($E$3="Inox",0.00003563*1.63,0.00003563)))</f>
        <v>3.5630000000000003E-5</v>
      </c>
      <c r="K22" s="108">
        <v>0.31169999999999998</v>
      </c>
      <c r="L22" s="110">
        <f t="shared" si="2"/>
        <v>7850</v>
      </c>
      <c r="M22" s="105">
        <v>1</v>
      </c>
      <c r="N22" s="107">
        <f>D22*E22*M22</f>
        <v>0.1961574465375</v>
      </c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</row>
    <row r="23" spans="1:47" s="99" customFormat="1">
      <c r="A23" s="105" t="s">
        <v>176</v>
      </c>
      <c r="B23" s="106" t="s">
        <v>145</v>
      </c>
      <c r="C23" s="106" t="s">
        <v>177</v>
      </c>
      <c r="D23" s="107">
        <f t="shared" si="0"/>
        <v>2.25</v>
      </c>
      <c r="E23" s="108">
        <f>J23*K23*L23</f>
        <v>8.6672041540000008E-2</v>
      </c>
      <c r="F23" s="109" t="s">
        <v>68</v>
      </c>
      <c r="G23" s="109"/>
      <c r="H23" s="109"/>
      <c r="I23" s="105" t="s">
        <v>161</v>
      </c>
      <c r="J23" s="108">
        <f t="shared" ref="J23:J25" si="6">IF($E$3="Aluminio",0.00003563*3.04,IF($E$3="Titanio",0.00003563/(1.2/0.48),IF($E$3="Inox",0.00003563*1.63,0.00003563)))</f>
        <v>3.5630000000000003E-5</v>
      </c>
      <c r="K23" s="108">
        <v>0.30987999999999999</v>
      </c>
      <c r="L23" s="110">
        <f t="shared" si="2"/>
        <v>7850</v>
      </c>
      <c r="M23" s="105">
        <v>1</v>
      </c>
      <c r="N23" s="107">
        <f t="shared" ref="N23:N40" si="7">D23*E23*M23</f>
        <v>0.19501209346500001</v>
      </c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</row>
    <row r="24" spans="1:47" s="99" customFormat="1">
      <c r="A24" s="105" t="s">
        <v>178</v>
      </c>
      <c r="B24" s="106" t="s">
        <v>145</v>
      </c>
      <c r="C24" s="106" t="s">
        <v>179</v>
      </c>
      <c r="D24" s="107">
        <f t="shared" si="0"/>
        <v>2.25</v>
      </c>
      <c r="E24" s="108">
        <f t="shared" ref="E24:E40" si="8">J24*K24*L24</f>
        <v>5.7278841445000006E-2</v>
      </c>
      <c r="F24" s="109" t="s">
        <v>68</v>
      </c>
      <c r="G24" s="109"/>
      <c r="H24" s="109"/>
      <c r="I24" s="105" t="s">
        <v>161</v>
      </c>
      <c r="J24" s="108">
        <f t="shared" si="6"/>
        <v>3.5630000000000003E-5</v>
      </c>
      <c r="K24" s="108">
        <v>0.20479</v>
      </c>
      <c r="L24" s="110">
        <f t="shared" si="2"/>
        <v>7850</v>
      </c>
      <c r="M24" s="105">
        <v>2</v>
      </c>
      <c r="N24" s="107">
        <f t="shared" si="7"/>
        <v>0.25775478650250006</v>
      </c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</row>
    <row r="25" spans="1:47" s="99" customFormat="1">
      <c r="A25" s="105" t="s">
        <v>180</v>
      </c>
      <c r="B25" s="106" t="s">
        <v>145</v>
      </c>
      <c r="C25" s="106" t="s">
        <v>181</v>
      </c>
      <c r="D25" s="107">
        <f t="shared" si="0"/>
        <v>2.25</v>
      </c>
      <c r="E25" s="108">
        <f t="shared" si="8"/>
        <v>0.10106517197000001</v>
      </c>
      <c r="F25" s="109" t="s">
        <v>68</v>
      </c>
      <c r="G25" s="109"/>
      <c r="H25" s="109"/>
      <c r="I25" s="105" t="s">
        <v>161</v>
      </c>
      <c r="J25" s="108">
        <f t="shared" si="6"/>
        <v>3.5630000000000003E-5</v>
      </c>
      <c r="K25" s="108">
        <v>0.36133999999999999</v>
      </c>
      <c r="L25" s="110">
        <f t="shared" si="2"/>
        <v>7850</v>
      </c>
      <c r="M25" s="105">
        <v>2</v>
      </c>
      <c r="N25" s="107">
        <f t="shared" si="7"/>
        <v>0.45479327386500001</v>
      </c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</row>
    <row r="26" spans="1:47" s="99" customFormat="1">
      <c r="A26" s="105" t="s">
        <v>182</v>
      </c>
      <c r="B26" s="106" t="s">
        <v>145</v>
      </c>
      <c r="C26" s="106" t="s">
        <v>183</v>
      </c>
      <c r="D26" s="107">
        <f t="shared" si="0"/>
        <v>2.25</v>
      </c>
      <c r="E26" s="108">
        <f t="shared" si="8"/>
        <v>0.71629928923500008</v>
      </c>
      <c r="F26" s="109" t="s">
        <v>68</v>
      </c>
      <c r="G26" s="109"/>
      <c r="H26" s="109"/>
      <c r="I26" s="105" t="s">
        <v>147</v>
      </c>
      <c r="J26" s="108">
        <f t="shared" ref="J26:J31" si="9">IF($E$3="Aluminio",0.00011239*1.46,IF($E$3="Titanio",0.00011239*0.4,IF($E$3="Inox",0.00011239*1.61,0.00011239)))</f>
        <v>1.1239E-4</v>
      </c>
      <c r="K26" s="108">
        <v>0.81189</v>
      </c>
      <c r="L26" s="110">
        <f t="shared" si="2"/>
        <v>7850</v>
      </c>
      <c r="M26" s="111">
        <v>2</v>
      </c>
      <c r="N26" s="107">
        <f t="shared" si="7"/>
        <v>3.2233468015575002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</row>
    <row r="27" spans="1:47" s="99" customFormat="1" ht="15" customHeight="1">
      <c r="A27" s="105" t="s">
        <v>184</v>
      </c>
      <c r="B27" s="106" t="s">
        <v>145</v>
      </c>
      <c r="C27" s="114" t="s">
        <v>185</v>
      </c>
      <c r="D27" s="107">
        <f t="shared" si="0"/>
        <v>2.25</v>
      </c>
      <c r="E27" s="108">
        <f t="shared" si="8"/>
        <v>0.38557474334499997</v>
      </c>
      <c r="F27" s="109" t="s">
        <v>68</v>
      </c>
      <c r="G27" s="109"/>
      <c r="H27" s="109"/>
      <c r="I27" s="105" t="s">
        <v>147</v>
      </c>
      <c r="J27" s="108">
        <f t="shared" si="9"/>
        <v>1.1239E-4</v>
      </c>
      <c r="K27" s="108">
        <v>0.43702999999999997</v>
      </c>
      <c r="L27" s="110">
        <f t="shared" si="2"/>
        <v>7850</v>
      </c>
      <c r="M27" s="111">
        <v>2</v>
      </c>
      <c r="N27" s="107">
        <f t="shared" si="7"/>
        <v>1.7350863450524998</v>
      </c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</row>
    <row r="28" spans="1:47" s="115" customFormat="1">
      <c r="A28" s="105" t="s">
        <v>186</v>
      </c>
      <c r="B28" s="106" t="s">
        <v>145</v>
      </c>
      <c r="C28" s="106" t="s">
        <v>187</v>
      </c>
      <c r="D28" s="107">
        <f t="shared" si="0"/>
        <v>2.25</v>
      </c>
      <c r="E28" s="108">
        <f t="shared" si="8"/>
        <v>0.44221593164499995</v>
      </c>
      <c r="F28" s="109" t="s">
        <v>68</v>
      </c>
      <c r="G28" s="109"/>
      <c r="H28" s="109"/>
      <c r="I28" s="105" t="s">
        <v>147</v>
      </c>
      <c r="J28" s="108">
        <f t="shared" si="9"/>
        <v>1.1239E-4</v>
      </c>
      <c r="K28" s="108">
        <v>0.50122999999999995</v>
      </c>
      <c r="L28" s="110">
        <f t="shared" si="2"/>
        <v>7850</v>
      </c>
      <c r="M28" s="111">
        <v>2</v>
      </c>
      <c r="N28" s="107">
        <f t="shared" si="7"/>
        <v>1.9899716924024997</v>
      </c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</row>
    <row r="29" spans="1:47" s="115" customFormat="1">
      <c r="A29" s="105" t="s">
        <v>188</v>
      </c>
      <c r="B29" s="106" t="s">
        <v>145</v>
      </c>
      <c r="C29" s="106" t="s">
        <v>189</v>
      </c>
      <c r="D29" s="107">
        <f t="shared" si="0"/>
        <v>2.25</v>
      </c>
      <c r="E29" s="108">
        <f t="shared" si="8"/>
        <v>0.35049602610499997</v>
      </c>
      <c r="F29" s="109" t="s">
        <v>68</v>
      </c>
      <c r="G29" s="109"/>
      <c r="H29" s="109"/>
      <c r="I29" s="105" t="s">
        <v>147</v>
      </c>
      <c r="J29" s="108">
        <f t="shared" si="9"/>
        <v>1.1239E-4</v>
      </c>
      <c r="K29" s="108">
        <v>0.39727000000000001</v>
      </c>
      <c r="L29" s="110">
        <f t="shared" si="2"/>
        <v>7850</v>
      </c>
      <c r="M29" s="111">
        <v>2</v>
      </c>
      <c r="N29" s="107">
        <f t="shared" si="7"/>
        <v>1.5772321174724999</v>
      </c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</row>
    <row r="30" spans="1:47" s="99" customFormat="1">
      <c r="A30" s="105" t="s">
        <v>190</v>
      </c>
      <c r="B30" s="106" t="s">
        <v>145</v>
      </c>
      <c r="C30" s="106" t="s">
        <v>191</v>
      </c>
      <c r="D30" s="107">
        <f t="shared" si="0"/>
        <v>2.25</v>
      </c>
      <c r="E30" s="108">
        <f t="shared" si="8"/>
        <v>0.34588179846</v>
      </c>
      <c r="F30" s="109" t="s">
        <v>68</v>
      </c>
      <c r="G30" s="109"/>
      <c r="H30" s="109"/>
      <c r="I30" s="105" t="s">
        <v>147</v>
      </c>
      <c r="J30" s="108">
        <f t="shared" si="9"/>
        <v>1.1239E-4</v>
      </c>
      <c r="K30" s="108">
        <v>0.39204</v>
      </c>
      <c r="L30" s="110">
        <f t="shared" si="2"/>
        <v>7850</v>
      </c>
      <c r="M30" s="105">
        <v>2</v>
      </c>
      <c r="N30" s="107">
        <f t="shared" si="7"/>
        <v>1.5564680930699999</v>
      </c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</row>
    <row r="31" spans="1:47" s="115" customFormat="1">
      <c r="A31" s="105" t="s">
        <v>192</v>
      </c>
      <c r="B31" s="106" t="s">
        <v>145</v>
      </c>
      <c r="C31" s="106" t="s">
        <v>193</v>
      </c>
      <c r="D31" s="107">
        <f t="shared" si="0"/>
        <v>2.25</v>
      </c>
      <c r="E31" s="108">
        <f t="shared" si="8"/>
        <v>0.32358705035499996</v>
      </c>
      <c r="F31" s="109" t="s">
        <v>68</v>
      </c>
      <c r="G31" s="109"/>
      <c r="H31" s="109"/>
      <c r="I31" s="105" t="s">
        <v>147</v>
      </c>
      <c r="J31" s="108">
        <f t="shared" si="9"/>
        <v>1.1239E-4</v>
      </c>
      <c r="K31" s="108">
        <v>0.36676999999999998</v>
      </c>
      <c r="L31" s="110">
        <f t="shared" si="2"/>
        <v>7850</v>
      </c>
      <c r="M31" s="111">
        <v>1</v>
      </c>
      <c r="N31" s="107">
        <f t="shared" si="7"/>
        <v>0.72807086329874993</v>
      </c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</row>
    <row r="32" spans="1:47" s="99" customFormat="1">
      <c r="A32" s="105" t="s">
        <v>194</v>
      </c>
      <c r="B32" s="106" t="s">
        <v>145</v>
      </c>
      <c r="C32" s="106" t="s">
        <v>195</v>
      </c>
      <c r="D32" s="107">
        <f t="shared" si="0"/>
        <v>2.25</v>
      </c>
      <c r="E32" s="108">
        <f t="shared" si="8"/>
        <v>2.5645570220031915</v>
      </c>
      <c r="F32" s="109" t="s">
        <v>68</v>
      </c>
      <c r="G32" s="109"/>
      <c r="H32" s="109"/>
      <c r="I32" s="105" t="s">
        <v>173</v>
      </c>
      <c r="J32" s="108">
        <f t="shared" ref="J32:J33" si="10">IF($E$3="Aluminio",0.00017361*3.04,IF($E$3="Titanio",0.00017361/(1.2/0.48),IF($E$3="Inox",0.00017361*1.63,0.00017361)))</f>
        <v>1.7361000000000001E-4</v>
      </c>
      <c r="K32" s="108">
        <v>1.8817761767100001</v>
      </c>
      <c r="L32" s="110">
        <f t="shared" si="2"/>
        <v>7850</v>
      </c>
      <c r="M32" s="105">
        <v>1</v>
      </c>
      <c r="N32" s="107">
        <f t="shared" si="7"/>
        <v>5.7702532995071811</v>
      </c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</row>
    <row r="33" spans="1:47" s="99" customFormat="1">
      <c r="A33" s="105" t="s">
        <v>196</v>
      </c>
      <c r="B33" s="106" t="s">
        <v>145</v>
      </c>
      <c r="C33" s="106" t="s">
        <v>197</v>
      </c>
      <c r="D33" s="107">
        <f t="shared" si="0"/>
        <v>2.25</v>
      </c>
      <c r="E33" s="108">
        <f t="shared" si="8"/>
        <v>0.68038465115272506</v>
      </c>
      <c r="F33" s="109" t="s">
        <v>68</v>
      </c>
      <c r="G33" s="109"/>
      <c r="H33" s="109"/>
      <c r="I33" s="105" t="s">
        <v>173</v>
      </c>
      <c r="J33" s="108">
        <f t="shared" si="10"/>
        <v>1.7361000000000001E-4</v>
      </c>
      <c r="K33" s="108">
        <v>0.49924085000000001</v>
      </c>
      <c r="L33" s="110">
        <f t="shared" si="2"/>
        <v>7850</v>
      </c>
      <c r="M33" s="105">
        <v>1</v>
      </c>
      <c r="N33" s="107">
        <f t="shared" si="7"/>
        <v>1.5308654650936313</v>
      </c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</row>
    <row r="34" spans="1:47" s="99" customFormat="1">
      <c r="A34" s="105" t="s">
        <v>198</v>
      </c>
      <c r="B34" s="106" t="s">
        <v>145</v>
      </c>
      <c r="C34" s="116" t="s">
        <v>199</v>
      </c>
      <c r="D34" s="107">
        <f t="shared" si="0"/>
        <v>2.25</v>
      </c>
      <c r="E34" s="108">
        <f t="shared" si="8"/>
        <v>0.10332617445290002</v>
      </c>
      <c r="F34" s="109" t="s">
        <v>68</v>
      </c>
      <c r="G34" s="109"/>
      <c r="H34" s="109"/>
      <c r="I34" s="105" t="s">
        <v>161</v>
      </c>
      <c r="J34" s="108">
        <f>IF($E$3="Aluminio",0.00003563*3.04,IF($E$3="Titanio",0.00003563/(1.2/0.48),IF($E$3="Inox",0.00003563*1.63,0.00003563)))</f>
        <v>3.5630000000000003E-5</v>
      </c>
      <c r="K34" s="117">
        <v>0.36942380000000002</v>
      </c>
      <c r="L34" s="110">
        <f t="shared" si="2"/>
        <v>7850</v>
      </c>
      <c r="M34" s="105">
        <v>1</v>
      </c>
      <c r="N34" s="107">
        <f t="shared" si="7"/>
        <v>0.23248389251902504</v>
      </c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</row>
    <row r="35" spans="1:47" s="99" customFormat="1">
      <c r="A35" s="105" t="s">
        <v>200</v>
      </c>
      <c r="B35" s="106" t="s">
        <v>145</v>
      </c>
      <c r="C35" s="106" t="s">
        <v>201</v>
      </c>
      <c r="D35" s="107">
        <f t="shared" si="0"/>
        <v>2.25</v>
      </c>
      <c r="E35" s="108">
        <f t="shared" si="8"/>
        <v>0.58184009572188</v>
      </c>
      <c r="F35" s="109" t="s">
        <v>68</v>
      </c>
      <c r="G35" s="109"/>
      <c r="H35" s="109"/>
      <c r="I35" s="105" t="s">
        <v>147</v>
      </c>
      <c r="J35" s="108">
        <f>IF($E$3="Aluminio",0.00011239*1.46,IF($E$3="Titanio",0.00011239*0.4,IF($E$3="Inox",0.00011239*1.61,0.00011239)))</f>
        <v>1.1239E-4</v>
      </c>
      <c r="K35" s="108">
        <v>0.65948711999999998</v>
      </c>
      <c r="L35" s="110">
        <f t="shared" si="2"/>
        <v>7850</v>
      </c>
      <c r="M35" s="111">
        <v>2</v>
      </c>
      <c r="N35" s="107">
        <f t="shared" si="7"/>
        <v>2.61828043074846</v>
      </c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</row>
    <row r="36" spans="1:47" s="99" customFormat="1">
      <c r="A36" s="105" t="s">
        <v>202</v>
      </c>
      <c r="B36" s="106" t="s">
        <v>145</v>
      </c>
      <c r="C36" s="106" t="s">
        <v>203</v>
      </c>
      <c r="D36" s="107">
        <f t="shared" si="0"/>
        <v>2.25</v>
      </c>
      <c r="E36" s="108">
        <f t="shared" si="8"/>
        <v>0.22442668441357499</v>
      </c>
      <c r="F36" s="109" t="s">
        <v>68</v>
      </c>
      <c r="G36" s="109"/>
      <c r="H36" s="109"/>
      <c r="I36" s="105" t="s">
        <v>150</v>
      </c>
      <c r="J36" s="108">
        <f t="shared" ref="J36:J45" si="11">IF($E$3="Aluminio",0.00009135*3.04,IF($E$3="Titanio",0.00009135/(1.2/0.48),IF($E$3="Inox",0.00009135*1.63,0.00009135)))</f>
        <v>9.1349999999999998E-5</v>
      </c>
      <c r="K36" s="108">
        <v>0.31296537000000002</v>
      </c>
      <c r="L36" s="110">
        <f t="shared" si="2"/>
        <v>7850</v>
      </c>
      <c r="M36" s="105">
        <v>2</v>
      </c>
      <c r="N36" s="107">
        <f t="shared" si="7"/>
        <v>1.0099200798610874</v>
      </c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</row>
    <row r="37" spans="1:47" s="99" customFormat="1">
      <c r="A37" s="105" t="s">
        <v>204</v>
      </c>
      <c r="B37" s="106" t="s">
        <v>145</v>
      </c>
      <c r="C37" s="106" t="s">
        <v>205</v>
      </c>
      <c r="D37" s="107">
        <f t="shared" si="0"/>
        <v>2.25</v>
      </c>
      <c r="E37" s="108">
        <f t="shared" si="8"/>
        <v>0.11332980206099999</v>
      </c>
      <c r="F37" s="109" t="s">
        <v>68</v>
      </c>
      <c r="G37" s="109"/>
      <c r="H37" s="109"/>
      <c r="I37" s="105" t="s">
        <v>150</v>
      </c>
      <c r="J37" s="108">
        <f t="shared" si="11"/>
        <v>9.1349999999999998E-5</v>
      </c>
      <c r="K37" s="108">
        <v>0.1580396</v>
      </c>
      <c r="L37" s="110">
        <f t="shared" si="2"/>
        <v>7850</v>
      </c>
      <c r="M37" s="105">
        <v>2</v>
      </c>
      <c r="N37" s="107">
        <f t="shared" si="7"/>
        <v>0.5099841092745</v>
      </c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</row>
    <row r="38" spans="1:47" s="99" customFormat="1">
      <c r="A38" s="105" t="s">
        <v>206</v>
      </c>
      <c r="B38" s="106" t="s">
        <v>145</v>
      </c>
      <c r="C38" s="106" t="s">
        <v>207</v>
      </c>
      <c r="D38" s="107">
        <f t="shared" si="0"/>
        <v>2.25</v>
      </c>
      <c r="E38" s="108">
        <f t="shared" si="8"/>
        <v>0.27099831622500004</v>
      </c>
      <c r="F38" s="109" t="s">
        <v>68</v>
      </c>
      <c r="G38" s="109"/>
      <c r="H38" s="109"/>
      <c r="I38" s="105" t="s">
        <v>150</v>
      </c>
      <c r="J38" s="108">
        <f t="shared" si="11"/>
        <v>9.1349999999999998E-5</v>
      </c>
      <c r="K38" s="108">
        <v>0.37791000000000002</v>
      </c>
      <c r="L38" s="110">
        <f t="shared" si="2"/>
        <v>7850</v>
      </c>
      <c r="M38" s="105">
        <v>2</v>
      </c>
      <c r="N38" s="107">
        <f t="shared" si="7"/>
        <v>1.2194924230125002</v>
      </c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</row>
    <row r="39" spans="1:47">
      <c r="A39" s="105" t="s">
        <v>208</v>
      </c>
      <c r="B39" s="106" t="s">
        <v>145</v>
      </c>
      <c r="C39" s="106" t="s">
        <v>209</v>
      </c>
      <c r="D39" s="107">
        <f t="shared" si="0"/>
        <v>2.25</v>
      </c>
      <c r="E39" s="108">
        <f t="shared" si="8"/>
        <v>0.14377421944934998</v>
      </c>
      <c r="F39" s="109" t="s">
        <v>68</v>
      </c>
      <c r="G39" s="109"/>
      <c r="H39" s="109"/>
      <c r="I39" s="105" t="s">
        <v>150</v>
      </c>
      <c r="J39" s="108">
        <f t="shared" si="11"/>
        <v>9.1349999999999998E-5</v>
      </c>
      <c r="K39" s="113">
        <v>0.20049465999999999</v>
      </c>
      <c r="L39" s="110">
        <f t="shared" si="2"/>
        <v>7850</v>
      </c>
      <c r="M39" s="105">
        <v>2</v>
      </c>
      <c r="N39" s="107">
        <f t="shared" si="7"/>
        <v>0.64698398752207487</v>
      </c>
    </row>
    <row r="40" spans="1:47">
      <c r="A40" s="105" t="s">
        <v>210</v>
      </c>
      <c r="B40" s="106" t="s">
        <v>145</v>
      </c>
      <c r="C40" s="106" t="s">
        <v>211</v>
      </c>
      <c r="D40" s="107">
        <f t="shared" si="0"/>
        <v>2.25</v>
      </c>
      <c r="E40" s="108">
        <f t="shared" si="8"/>
        <v>0.10223701366252499</v>
      </c>
      <c r="F40" s="109" t="s">
        <v>68</v>
      </c>
      <c r="G40" s="109"/>
      <c r="H40" s="109"/>
      <c r="I40" s="105" t="s">
        <v>150</v>
      </c>
      <c r="J40" s="108">
        <f t="shared" si="11"/>
        <v>9.1349999999999998E-5</v>
      </c>
      <c r="K40" s="108">
        <v>0.14257059</v>
      </c>
      <c r="L40" s="110">
        <f t="shared" si="2"/>
        <v>7850</v>
      </c>
      <c r="M40" s="105">
        <v>2</v>
      </c>
      <c r="N40" s="107">
        <f t="shared" si="7"/>
        <v>0.46006656148136249</v>
      </c>
    </row>
    <row r="41" spans="1:47">
      <c r="A41" s="105" t="s">
        <v>212</v>
      </c>
      <c r="B41" s="106" t="s">
        <v>145</v>
      </c>
      <c r="C41" s="106" t="s">
        <v>213</v>
      </c>
      <c r="D41" s="107">
        <f t="shared" si="0"/>
        <v>2.25</v>
      </c>
      <c r="E41" s="108">
        <f>J41*K41*L41</f>
        <v>8.7857229598424985E-2</v>
      </c>
      <c r="F41" s="109" t="s">
        <v>68</v>
      </c>
      <c r="G41" s="109"/>
      <c r="H41" s="109"/>
      <c r="I41" s="105" t="s">
        <v>150</v>
      </c>
      <c r="J41" s="108">
        <f t="shared" si="11"/>
        <v>9.1349999999999998E-5</v>
      </c>
      <c r="K41" s="108">
        <v>0.12251782999999999</v>
      </c>
      <c r="L41" s="110">
        <f t="shared" si="2"/>
        <v>7850</v>
      </c>
      <c r="M41" s="105">
        <v>2</v>
      </c>
      <c r="N41" s="107">
        <f>D41*E41*M41</f>
        <v>0.39535753319291245</v>
      </c>
    </row>
    <row r="42" spans="1:47">
      <c r="A42" s="105" t="s">
        <v>214</v>
      </c>
      <c r="B42" s="106" t="s">
        <v>145</v>
      </c>
      <c r="C42" s="106" t="s">
        <v>215</v>
      </c>
      <c r="D42" s="107">
        <f t="shared" si="0"/>
        <v>2.25</v>
      </c>
      <c r="E42" s="108">
        <f>J42*K42*L42</f>
        <v>0.28722082573484997</v>
      </c>
      <c r="F42" s="109" t="s">
        <v>68</v>
      </c>
      <c r="G42" s="109"/>
      <c r="H42" s="109"/>
      <c r="I42" s="105" t="s">
        <v>150</v>
      </c>
      <c r="J42" s="108">
        <f t="shared" si="11"/>
        <v>9.1349999999999998E-5</v>
      </c>
      <c r="K42" s="108">
        <v>0.40053245999999998</v>
      </c>
      <c r="L42" s="110">
        <f t="shared" si="2"/>
        <v>7850</v>
      </c>
      <c r="M42" s="105">
        <v>2</v>
      </c>
      <c r="N42" s="107">
        <f>D42*E42*M42</f>
        <v>1.2924937158068248</v>
      </c>
    </row>
    <row r="43" spans="1:47" s="99" customFormat="1">
      <c r="A43" s="105" t="s">
        <v>216</v>
      </c>
      <c r="B43" s="106" t="s">
        <v>145</v>
      </c>
      <c r="C43" s="106" t="s">
        <v>217</v>
      </c>
      <c r="D43" s="107">
        <f t="shared" si="0"/>
        <v>2.25</v>
      </c>
      <c r="E43" s="108">
        <f>J43*K43*L43</f>
        <v>9.2071489699350001E-2</v>
      </c>
      <c r="F43" s="109" t="s">
        <v>68</v>
      </c>
      <c r="G43" s="109"/>
      <c r="H43" s="109"/>
      <c r="I43" s="105" t="s">
        <v>150</v>
      </c>
      <c r="J43" s="108">
        <f t="shared" si="11"/>
        <v>9.1349999999999998E-5</v>
      </c>
      <c r="K43" s="108">
        <v>0.12839465999999999</v>
      </c>
      <c r="L43" s="110">
        <f t="shared" si="2"/>
        <v>7850</v>
      </c>
      <c r="M43" s="105">
        <v>2</v>
      </c>
      <c r="N43" s="107">
        <f>D43*E43*M43</f>
        <v>0.41432170364707499</v>
      </c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</row>
    <row r="44" spans="1:47" s="99" customFormat="1">
      <c r="A44" s="105" t="s">
        <v>218</v>
      </c>
      <c r="B44" s="106" t="s">
        <v>145</v>
      </c>
      <c r="C44" s="106" t="s">
        <v>219</v>
      </c>
      <c r="D44" s="107">
        <f t="shared" si="0"/>
        <v>2.25</v>
      </c>
      <c r="E44" s="108">
        <f>J44*K44*L44</f>
        <v>0.120263969953575</v>
      </c>
      <c r="F44" s="109" t="s">
        <v>68</v>
      </c>
      <c r="G44" s="109"/>
      <c r="H44" s="109"/>
      <c r="I44" s="105" t="s">
        <v>150</v>
      </c>
      <c r="J44" s="108">
        <f t="shared" si="11"/>
        <v>9.1349999999999998E-5</v>
      </c>
      <c r="K44" s="108">
        <v>0.16770937</v>
      </c>
      <c r="L44" s="110">
        <f t="shared" si="2"/>
        <v>7850</v>
      </c>
      <c r="M44" s="105">
        <v>2</v>
      </c>
      <c r="N44" s="107">
        <f>D44*E44*M44</f>
        <v>0.54118786479108749</v>
      </c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</row>
    <row r="45" spans="1:47" s="99" customFormat="1">
      <c r="A45" s="105" t="s">
        <v>220</v>
      </c>
      <c r="B45" s="106" t="s">
        <v>145</v>
      </c>
      <c r="C45" s="106" t="s">
        <v>221</v>
      </c>
      <c r="D45" s="107">
        <f t="shared" si="0"/>
        <v>2.25</v>
      </c>
      <c r="E45" s="108">
        <f t="shared" ref="E45:E46" si="12">J45*K45*L45</f>
        <v>0.158188617809775</v>
      </c>
      <c r="F45" s="109" t="s">
        <v>68</v>
      </c>
      <c r="G45" s="109"/>
      <c r="H45" s="109"/>
      <c r="I45" s="105" t="s">
        <v>150</v>
      </c>
      <c r="J45" s="108">
        <f t="shared" si="11"/>
        <v>9.1349999999999998E-5</v>
      </c>
      <c r="K45" s="108">
        <v>0.22059569000000001</v>
      </c>
      <c r="L45" s="110">
        <f t="shared" si="2"/>
        <v>7850</v>
      </c>
      <c r="M45" s="105">
        <v>2</v>
      </c>
      <c r="N45" s="107">
        <f t="shared" ref="N45:N46" si="13">D45*E45*M45</f>
        <v>0.71184878014398745</v>
      </c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</row>
    <row r="46" spans="1:47" s="99" customFormat="1">
      <c r="A46" s="105" t="s">
        <v>222</v>
      </c>
      <c r="B46" s="106" t="s">
        <v>145</v>
      </c>
      <c r="C46" s="116" t="s">
        <v>223</v>
      </c>
      <c r="D46" s="107">
        <f t="shared" si="0"/>
        <v>2.25</v>
      </c>
      <c r="E46" s="108">
        <f t="shared" si="12"/>
        <v>3.3954326070385003E-2</v>
      </c>
      <c r="F46" s="109" t="s">
        <v>68</v>
      </c>
      <c r="G46" s="109"/>
      <c r="H46" s="109"/>
      <c r="I46" s="105" t="s">
        <v>161</v>
      </c>
      <c r="J46" s="108">
        <f t="shared" ref="J46:J49" si="14">IF($E$3="Aluminio",0.00003563*3.04,IF($E$3="Titanio",0.00003563/(1.2/0.48),IF($E$3="Inox",0.00003563*1.63,0.00003563)))</f>
        <v>3.5630000000000003E-5</v>
      </c>
      <c r="K46" s="117">
        <v>0.12139746999999999</v>
      </c>
      <c r="L46" s="110">
        <f t="shared" si="2"/>
        <v>7850</v>
      </c>
      <c r="M46" s="105">
        <v>2</v>
      </c>
      <c r="N46" s="107">
        <f t="shared" si="13"/>
        <v>0.15279446731673252</v>
      </c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</row>
    <row r="47" spans="1:47">
      <c r="A47" s="105" t="s">
        <v>224</v>
      </c>
      <c r="B47" s="106" t="s">
        <v>145</v>
      </c>
      <c r="C47" s="116" t="s">
        <v>225</v>
      </c>
      <c r="D47" s="107">
        <f t="shared" si="0"/>
        <v>2.25</v>
      </c>
      <c r="E47" s="108">
        <f>J47*K47*L47</f>
        <v>2.5611261031335E-2</v>
      </c>
      <c r="F47" s="109" t="s">
        <v>68</v>
      </c>
      <c r="G47" s="109"/>
      <c r="H47" s="109"/>
      <c r="I47" s="105" t="s">
        <v>161</v>
      </c>
      <c r="J47" s="108">
        <f t="shared" si="14"/>
        <v>3.5630000000000003E-5</v>
      </c>
      <c r="K47" s="117">
        <v>9.1568369999999996E-2</v>
      </c>
      <c r="L47" s="110">
        <f t="shared" si="2"/>
        <v>7850</v>
      </c>
      <c r="M47" s="105">
        <v>2</v>
      </c>
      <c r="N47" s="107">
        <f>D47*E47*M47</f>
        <v>0.11525067464100749</v>
      </c>
    </row>
    <row r="48" spans="1:47">
      <c r="A48" s="105" t="s">
        <v>226</v>
      </c>
      <c r="B48" s="106" t="s">
        <v>145</v>
      </c>
      <c r="C48" s="116" t="s">
        <v>227</v>
      </c>
      <c r="D48" s="107">
        <f t="shared" si="0"/>
        <v>2.25</v>
      </c>
      <c r="E48" s="108">
        <f>J48*K48*L48</f>
        <v>2.7226390665635002E-2</v>
      </c>
      <c r="F48" s="109" t="s">
        <v>68</v>
      </c>
      <c r="G48" s="109"/>
      <c r="H48" s="109"/>
      <c r="I48" s="105" t="s">
        <v>161</v>
      </c>
      <c r="J48" s="108">
        <f t="shared" si="14"/>
        <v>3.5630000000000003E-5</v>
      </c>
      <c r="K48" s="117">
        <v>9.7342970000000001E-2</v>
      </c>
      <c r="L48" s="110">
        <f t="shared" si="2"/>
        <v>7850</v>
      </c>
      <c r="M48" s="105">
        <v>2</v>
      </c>
      <c r="N48" s="107">
        <f>D48*E48*M48</f>
        <v>0.12251875799535751</v>
      </c>
    </row>
    <row r="49" spans="1:21">
      <c r="A49" s="105" t="s">
        <v>228</v>
      </c>
      <c r="B49" s="106" t="s">
        <v>145</v>
      </c>
      <c r="C49" s="116" t="s">
        <v>229</v>
      </c>
      <c r="D49" s="107">
        <f t="shared" si="0"/>
        <v>2.25</v>
      </c>
      <c r="E49" s="108">
        <f t="shared" ref="E49" si="15">J49*K49*L49</f>
        <v>8.6479306167905001E-2</v>
      </c>
      <c r="F49" s="109" t="s">
        <v>68</v>
      </c>
      <c r="G49" s="109"/>
      <c r="H49" s="109"/>
      <c r="I49" s="105" t="s">
        <v>161</v>
      </c>
      <c r="J49" s="108">
        <f t="shared" si="14"/>
        <v>3.5630000000000003E-5</v>
      </c>
      <c r="K49" s="117">
        <v>0.30919090999999999</v>
      </c>
      <c r="L49" s="110">
        <f t="shared" si="2"/>
        <v>7850</v>
      </c>
      <c r="M49" s="105">
        <v>1</v>
      </c>
      <c r="N49" s="107">
        <f t="shared" ref="N49:N51" si="16">D49*E49*M49</f>
        <v>0.19457843887778625</v>
      </c>
      <c r="O49" s="112"/>
      <c r="U49" s="99"/>
    </row>
    <row r="50" spans="1:21" s="104" customFormat="1">
      <c r="A50" s="105" t="s">
        <v>230</v>
      </c>
      <c r="B50" s="106" t="s">
        <v>145</v>
      </c>
      <c r="C50" s="106" t="s">
        <v>231</v>
      </c>
      <c r="D50" s="107">
        <f t="shared" si="0"/>
        <v>2.25</v>
      </c>
      <c r="E50" s="108">
        <f>J50*K50*L50</f>
        <v>9.666702361497001E-2</v>
      </c>
      <c r="F50" s="109" t="s">
        <v>68</v>
      </c>
      <c r="G50" s="109"/>
      <c r="H50" s="109"/>
      <c r="I50" s="105" t="s">
        <v>232</v>
      </c>
      <c r="J50" s="108">
        <f>IF($E$3="Aluminio",0.00006729*3.04,IF($E$3="Titanio",0.00006729/(1.2/0.48),IF($E$3="Inox",0.00006729*1.63,0.00006729)))</f>
        <v>6.7290000000000001E-5</v>
      </c>
      <c r="K50" s="108">
        <v>0.18300298000000001</v>
      </c>
      <c r="L50" s="110">
        <f t="shared" si="2"/>
        <v>7850</v>
      </c>
      <c r="M50" s="105">
        <v>2</v>
      </c>
      <c r="N50" s="107">
        <f t="shared" si="16"/>
        <v>0.43500160626736506</v>
      </c>
      <c r="O50" s="91"/>
      <c r="P50" s="91"/>
      <c r="Q50" s="91"/>
      <c r="R50" s="91"/>
      <c r="S50" s="91"/>
      <c r="T50" s="91"/>
      <c r="U50" s="99"/>
    </row>
    <row r="51" spans="1:21">
      <c r="A51" s="105" t="s">
        <v>233</v>
      </c>
      <c r="B51" s="106" t="s">
        <v>145</v>
      </c>
      <c r="C51" s="106" t="s">
        <v>234</v>
      </c>
      <c r="D51" s="107">
        <f t="shared" si="0"/>
        <v>2.25</v>
      </c>
      <c r="E51" s="108">
        <f>J51*K51*L51</f>
        <v>9.5229740437529992E-2</v>
      </c>
      <c r="F51" s="109" t="s">
        <v>68</v>
      </c>
      <c r="G51" s="109"/>
      <c r="H51" s="109"/>
      <c r="I51" s="105" t="s">
        <v>232</v>
      </c>
      <c r="J51" s="108">
        <f t="shared" ref="J51:J52" si="17">IF($E$3="Aluminio",0.00006729*3.04,IF($E$3="Titanio",0.00006729/(1.2/0.48),IF($E$3="Inox",0.00006729*1.63,0.00006729)))</f>
        <v>6.7290000000000001E-5</v>
      </c>
      <c r="K51" s="108">
        <v>0.18028201999999999</v>
      </c>
      <c r="L51" s="110">
        <f t="shared" si="2"/>
        <v>7850</v>
      </c>
      <c r="M51" s="105">
        <v>2</v>
      </c>
      <c r="N51" s="107">
        <f t="shared" si="16"/>
        <v>0.42853383196888495</v>
      </c>
      <c r="U51" s="99"/>
    </row>
    <row r="52" spans="1:21" s="104" customFormat="1">
      <c r="A52" s="105" t="s">
        <v>235</v>
      </c>
      <c r="B52" s="106" t="s">
        <v>145</v>
      </c>
      <c r="C52" s="116" t="s">
        <v>236</v>
      </c>
      <c r="D52" s="107">
        <f t="shared" si="0"/>
        <v>2.25</v>
      </c>
      <c r="E52" s="108">
        <f>J52*K52*L52</f>
        <v>2.5881503255970002E-2</v>
      </c>
      <c r="F52" s="109" t="s">
        <v>68</v>
      </c>
      <c r="G52" s="109"/>
      <c r="H52" s="109"/>
      <c r="I52" s="105" t="s">
        <v>237</v>
      </c>
      <c r="J52" s="108">
        <f t="shared" si="17"/>
        <v>6.7290000000000001E-5</v>
      </c>
      <c r="K52" s="117">
        <v>4.8996980000000002E-2</v>
      </c>
      <c r="L52" s="110">
        <f t="shared" si="2"/>
        <v>7850</v>
      </c>
      <c r="M52" s="105">
        <v>2</v>
      </c>
      <c r="N52" s="107">
        <f>D52*E52*M52</f>
        <v>0.11646676465186501</v>
      </c>
      <c r="O52" s="91"/>
      <c r="P52" s="91"/>
      <c r="Q52" s="91"/>
      <c r="R52" s="91"/>
      <c r="S52" s="91"/>
      <c r="T52" s="91"/>
      <c r="U52" s="91"/>
    </row>
    <row r="53" spans="1:21">
      <c r="A53" s="105" t="s">
        <v>238</v>
      </c>
      <c r="B53" s="106" t="s">
        <v>239</v>
      </c>
      <c r="C53" s="106" t="s">
        <v>240</v>
      </c>
      <c r="D53" s="107">
        <f t="shared" si="0"/>
        <v>2.25</v>
      </c>
      <c r="E53" s="108">
        <f>J53*K53*L53</f>
        <v>1.7257468888000003</v>
      </c>
      <c r="F53" s="109" t="s">
        <v>68</v>
      </c>
      <c r="G53" s="109"/>
      <c r="H53" s="109"/>
      <c r="I53" s="105" t="s">
        <v>241</v>
      </c>
      <c r="J53" s="108">
        <f>0.32*0.055</f>
        <v>1.7600000000000001E-2</v>
      </c>
      <c r="K53" s="117">
        <v>1.2490930000000001E-2</v>
      </c>
      <c r="L53" s="110">
        <f t="shared" si="2"/>
        <v>7850</v>
      </c>
      <c r="M53" s="105">
        <v>1</v>
      </c>
      <c r="N53" s="107">
        <f>D53*E53*M53</f>
        <v>3.8829304998000005</v>
      </c>
    </row>
    <row r="54" spans="1:21">
      <c r="A54" s="105" t="s">
        <v>242</v>
      </c>
      <c r="B54" s="106" t="s">
        <v>243</v>
      </c>
      <c r="C54" s="106" t="s">
        <v>244</v>
      </c>
      <c r="D54" s="107">
        <v>2</v>
      </c>
      <c r="E54" s="108">
        <v>1.986</v>
      </c>
      <c r="F54" s="109" t="s">
        <v>69</v>
      </c>
      <c r="G54" s="109"/>
      <c r="H54" s="109"/>
      <c r="I54" s="105"/>
      <c r="J54" s="108"/>
      <c r="K54" s="118" t="s">
        <v>245</v>
      </c>
      <c r="L54" s="110"/>
      <c r="M54" s="105">
        <v>1</v>
      </c>
      <c r="N54" s="107">
        <f>D54*E54*M54</f>
        <v>3.972</v>
      </c>
      <c r="O54" s="99"/>
      <c r="P54" s="99"/>
      <c r="Q54" s="99"/>
      <c r="U54" s="104"/>
    </row>
    <row r="55" spans="1:21">
      <c r="A55" s="105" t="s">
        <v>246</v>
      </c>
      <c r="B55" s="106" t="s">
        <v>239</v>
      </c>
      <c r="C55" s="106" t="s">
        <v>247</v>
      </c>
      <c r="D55" s="107">
        <f t="shared" si="0"/>
        <v>2.25</v>
      </c>
      <c r="E55" s="108">
        <f>J55*K55*L55</f>
        <v>0.24168272284066283</v>
      </c>
      <c r="F55" s="109" t="s">
        <v>68</v>
      </c>
      <c r="G55" s="109"/>
      <c r="H55" s="109"/>
      <c r="I55" s="105" t="s">
        <v>248</v>
      </c>
      <c r="J55" s="108">
        <f>PI()*(0.007^2)</f>
        <v>1.5393804002589989E-4</v>
      </c>
      <c r="K55" s="119">
        <v>0.2</v>
      </c>
      <c r="L55" s="110">
        <f t="shared" si="2"/>
        <v>7850</v>
      </c>
      <c r="M55" s="120">
        <v>1</v>
      </c>
      <c r="N55" s="107">
        <f>D55*E55*M55</f>
        <v>0.54378612639149138</v>
      </c>
    </row>
    <row r="56" spans="1:21">
      <c r="A56" s="105" t="s">
        <v>249</v>
      </c>
      <c r="B56" s="106" t="s">
        <v>239</v>
      </c>
      <c r="C56" s="121" t="s">
        <v>250</v>
      </c>
      <c r="D56" s="107">
        <f t="shared" si="0"/>
        <v>2.25</v>
      </c>
      <c r="E56" s="108">
        <f>J56*K56*L56</f>
        <v>2.7223799999999996E-2</v>
      </c>
      <c r="F56" s="109" t="s">
        <v>68</v>
      </c>
      <c r="G56" s="109"/>
      <c r="H56" s="109"/>
      <c r="I56" s="105" t="s">
        <v>251</v>
      </c>
      <c r="J56" s="108">
        <f>68*34*10^-6</f>
        <v>2.3119999999999998E-3</v>
      </c>
      <c r="K56" s="122">
        <v>1.5E-3</v>
      </c>
      <c r="L56" s="110">
        <f t="shared" si="2"/>
        <v>7850</v>
      </c>
      <c r="M56" s="120">
        <v>1</v>
      </c>
      <c r="N56" s="107">
        <f>D56*E56*M56</f>
        <v>6.125354999999999E-2</v>
      </c>
    </row>
    <row r="57" spans="1:21">
      <c r="A57" s="123"/>
      <c r="B57" s="124"/>
      <c r="C57" s="124"/>
      <c r="D57" s="125"/>
      <c r="E57" s="126"/>
      <c r="F57" s="126"/>
      <c r="G57" s="126"/>
      <c r="H57" s="126"/>
      <c r="I57" s="126"/>
      <c r="J57" s="126"/>
      <c r="K57" s="126"/>
      <c r="L57" s="126"/>
      <c r="M57" s="127" t="s">
        <v>66</v>
      </c>
      <c r="N57" s="128">
        <f>SUM(N10:N55)</f>
        <v>56.919316511713461</v>
      </c>
      <c r="Q57" s="104"/>
    </row>
    <row r="58" spans="1:21">
      <c r="U58" s="104"/>
    </row>
    <row r="59" spans="1:21">
      <c r="A59" s="101" t="s">
        <v>53</v>
      </c>
      <c r="B59" s="101" t="s">
        <v>70</v>
      </c>
      <c r="C59" s="101" t="s">
        <v>55</v>
      </c>
      <c r="D59" s="102" t="s">
        <v>56</v>
      </c>
      <c r="E59" s="101" t="s">
        <v>71</v>
      </c>
      <c r="F59" s="101" t="s">
        <v>65</v>
      </c>
      <c r="G59" s="101" t="s">
        <v>72</v>
      </c>
      <c r="H59" s="101" t="s">
        <v>73</v>
      </c>
      <c r="I59" s="101" t="s">
        <v>66</v>
      </c>
      <c r="K59" s="104"/>
      <c r="L59" s="129"/>
      <c r="M59" s="129"/>
      <c r="N59" s="129"/>
      <c r="T59" s="104"/>
    </row>
    <row r="60" spans="1:21">
      <c r="A60" s="130" t="s">
        <v>74</v>
      </c>
      <c r="B60" s="131" t="s">
        <v>252</v>
      </c>
      <c r="C60" s="131" t="s">
        <v>253</v>
      </c>
      <c r="D60" s="132">
        <v>0.75</v>
      </c>
      <c r="E60" s="130" t="s">
        <v>254</v>
      </c>
      <c r="F60" s="130">
        <v>9</v>
      </c>
      <c r="G60" s="130"/>
      <c r="H60" s="130"/>
      <c r="I60" s="132">
        <f t="shared" ref="I60:I78" si="18">IF(H60="", D60*F60,D60*F60*H60)</f>
        <v>6.75</v>
      </c>
      <c r="J60" s="133"/>
      <c r="L60" s="129"/>
      <c r="M60" s="129"/>
      <c r="N60" s="129"/>
    </row>
    <row r="61" spans="1:21">
      <c r="A61" s="130" t="s">
        <v>78</v>
      </c>
      <c r="B61" s="131" t="s">
        <v>255</v>
      </c>
      <c r="C61" s="131" t="s">
        <v>256</v>
      </c>
      <c r="D61" s="132">
        <v>0.35</v>
      </c>
      <c r="E61" s="134" t="s">
        <v>257</v>
      </c>
      <c r="F61" s="130">
        <v>9</v>
      </c>
      <c r="G61" s="130"/>
      <c r="H61" s="130"/>
      <c r="I61" s="132">
        <f t="shared" si="18"/>
        <v>3.15</v>
      </c>
      <c r="J61" s="133"/>
      <c r="L61" s="129"/>
      <c r="M61" s="129"/>
      <c r="N61" s="129"/>
    </row>
    <row r="62" spans="1:21" ht="15" customHeight="1">
      <c r="A62" s="130" t="s">
        <v>80</v>
      </c>
      <c r="B62" s="135" t="s">
        <v>258</v>
      </c>
      <c r="C62" s="136" t="s">
        <v>259</v>
      </c>
      <c r="D62" s="132">
        <v>0.04</v>
      </c>
      <c r="E62" s="134" t="s">
        <v>89</v>
      </c>
      <c r="F62" s="130">
        <v>2.5</v>
      </c>
      <c r="G62" s="105" t="s">
        <v>260</v>
      </c>
      <c r="H62" s="130">
        <v>38</v>
      </c>
      <c r="I62" s="132">
        <f t="shared" si="18"/>
        <v>3.8000000000000003</v>
      </c>
      <c r="J62" s="1"/>
      <c r="K62" s="99"/>
      <c r="L62" s="129"/>
      <c r="M62" s="129"/>
      <c r="N62" s="129"/>
      <c r="R62" s="104"/>
      <c r="S62" s="104"/>
    </row>
    <row r="63" spans="1:21" ht="14.25" customHeight="1">
      <c r="A63" s="130" t="s">
        <v>83</v>
      </c>
      <c r="B63" s="135" t="s">
        <v>258</v>
      </c>
      <c r="C63" s="136" t="s">
        <v>261</v>
      </c>
      <c r="D63" s="137">
        <v>0.04</v>
      </c>
      <c r="E63" s="138" t="s">
        <v>89</v>
      </c>
      <c r="F63" s="130">
        <v>2.54</v>
      </c>
      <c r="G63" s="105" t="s">
        <v>262</v>
      </c>
      <c r="H63" s="105">
        <v>48</v>
      </c>
      <c r="I63" s="132">
        <f t="shared" si="18"/>
        <v>4.8768000000000002</v>
      </c>
      <c r="J63" s="1"/>
      <c r="K63" s="99"/>
      <c r="L63" s="129"/>
      <c r="M63" s="129"/>
      <c r="N63" s="129"/>
    </row>
    <row r="64" spans="1:21">
      <c r="A64" s="130" t="s">
        <v>85</v>
      </c>
      <c r="B64" s="135" t="s">
        <v>258</v>
      </c>
      <c r="C64" s="136" t="s">
        <v>263</v>
      </c>
      <c r="D64" s="137">
        <v>0.04</v>
      </c>
      <c r="E64" s="138" t="s">
        <v>89</v>
      </c>
      <c r="F64" s="139">
        <v>1.587</v>
      </c>
      <c r="G64" s="109" t="s">
        <v>264</v>
      </c>
      <c r="H64" s="130">
        <v>32</v>
      </c>
      <c r="I64" s="132">
        <f t="shared" si="18"/>
        <v>2.0313599999999998</v>
      </c>
      <c r="K64" s="99"/>
      <c r="L64" s="129"/>
      <c r="M64" s="129"/>
      <c r="N64" s="129"/>
    </row>
    <row r="65" spans="1:14">
      <c r="A65" s="130" t="s">
        <v>99</v>
      </c>
      <c r="B65" s="135" t="s">
        <v>258</v>
      </c>
      <c r="C65" s="136" t="s">
        <v>265</v>
      </c>
      <c r="D65" s="137">
        <v>0.04</v>
      </c>
      <c r="E65" s="138" t="s">
        <v>89</v>
      </c>
      <c r="F65" s="139">
        <v>1.905</v>
      </c>
      <c r="G65" s="109" t="s">
        <v>266</v>
      </c>
      <c r="H65" s="130">
        <v>10</v>
      </c>
      <c r="I65" s="132">
        <f t="shared" si="18"/>
        <v>0.76200000000000001</v>
      </c>
      <c r="K65" s="99"/>
      <c r="L65" s="129"/>
      <c r="M65" s="129"/>
      <c r="N65" s="129"/>
    </row>
    <row r="66" spans="1:14">
      <c r="A66" s="130" t="s">
        <v>267</v>
      </c>
      <c r="B66" s="140" t="s">
        <v>258</v>
      </c>
      <c r="C66" s="141" t="s">
        <v>268</v>
      </c>
      <c r="D66" s="142">
        <v>0.04</v>
      </c>
      <c r="E66" s="143" t="s">
        <v>89</v>
      </c>
      <c r="F66" s="139">
        <v>2.54</v>
      </c>
      <c r="G66" s="109" t="s">
        <v>269</v>
      </c>
      <c r="H66" s="109">
        <v>12</v>
      </c>
      <c r="I66" s="132">
        <f t="shared" si="18"/>
        <v>1.2192000000000001</v>
      </c>
      <c r="K66" s="129"/>
      <c r="L66" s="129"/>
      <c r="M66" s="129"/>
      <c r="N66" s="129"/>
    </row>
    <row r="67" spans="1:14">
      <c r="A67" s="130" t="s">
        <v>270</v>
      </c>
      <c r="B67" s="144" t="s">
        <v>86</v>
      </c>
      <c r="C67" s="144" t="s">
        <v>271</v>
      </c>
      <c r="D67" s="145">
        <v>1.3</v>
      </c>
      <c r="E67" s="146" t="s">
        <v>88</v>
      </c>
      <c r="F67" s="147">
        <f>1/8</f>
        <v>0.125</v>
      </c>
      <c r="G67" s="148" t="s">
        <v>272</v>
      </c>
      <c r="H67" s="147">
        <v>8</v>
      </c>
      <c r="I67" s="132">
        <f t="shared" si="18"/>
        <v>1.3</v>
      </c>
      <c r="L67" s="129"/>
      <c r="M67" s="129"/>
      <c r="N67" s="129"/>
    </row>
    <row r="68" spans="1:14">
      <c r="A68" s="130" t="s">
        <v>273</v>
      </c>
      <c r="B68" s="131" t="s">
        <v>274</v>
      </c>
      <c r="C68" s="131" t="s">
        <v>275</v>
      </c>
      <c r="D68" s="132">
        <v>0.01</v>
      </c>
      <c r="E68" s="130" t="s">
        <v>89</v>
      </c>
      <c r="F68" s="139">
        <v>125.379</v>
      </c>
      <c r="G68" s="149" t="s">
        <v>276</v>
      </c>
      <c r="H68" s="150">
        <v>3</v>
      </c>
      <c r="I68" s="132">
        <f t="shared" si="18"/>
        <v>3.7613700000000003</v>
      </c>
      <c r="J68" s="104"/>
      <c r="K68" s="99"/>
      <c r="L68" s="129"/>
      <c r="M68" s="129"/>
      <c r="N68" s="129"/>
    </row>
    <row r="69" spans="1:14">
      <c r="A69" s="130" t="s">
        <v>277</v>
      </c>
      <c r="B69" s="131" t="s">
        <v>86</v>
      </c>
      <c r="C69" s="151" t="s">
        <v>278</v>
      </c>
      <c r="D69" s="132">
        <v>1.3</v>
      </c>
      <c r="E69" s="130" t="s">
        <v>88</v>
      </c>
      <c r="F69" s="139">
        <f>1/8</f>
        <v>0.125</v>
      </c>
      <c r="G69" s="149" t="s">
        <v>279</v>
      </c>
      <c r="H69" s="150">
        <v>8</v>
      </c>
      <c r="I69" s="132">
        <f t="shared" si="18"/>
        <v>1.3</v>
      </c>
      <c r="J69" s="104"/>
      <c r="K69" s="99"/>
      <c r="L69" s="129"/>
      <c r="M69" s="129"/>
      <c r="N69" s="129"/>
    </row>
    <row r="70" spans="1:14">
      <c r="A70" s="130" t="s">
        <v>280</v>
      </c>
      <c r="B70" s="131" t="s">
        <v>281</v>
      </c>
      <c r="C70" s="151" t="s">
        <v>282</v>
      </c>
      <c r="D70" s="132">
        <v>0.04</v>
      </c>
      <c r="E70" s="28" t="s">
        <v>283</v>
      </c>
      <c r="F70" s="139">
        <f>PI()*(0.7^2-0.6^2)*20+PI()*(0.4^2)*20</f>
        <v>18.221237390820797</v>
      </c>
      <c r="G70" s="149" t="s">
        <v>276</v>
      </c>
      <c r="H70" s="150">
        <v>3</v>
      </c>
      <c r="I70" s="132">
        <f t="shared" si="18"/>
        <v>2.1865484868984955</v>
      </c>
      <c r="J70" s="104"/>
      <c r="K70" s="99"/>
      <c r="L70" s="129"/>
      <c r="M70" s="129"/>
      <c r="N70" s="129"/>
    </row>
    <row r="71" spans="1:14">
      <c r="A71" s="130" t="s">
        <v>284</v>
      </c>
      <c r="B71" s="144" t="s">
        <v>86</v>
      </c>
      <c r="C71" s="144" t="s">
        <v>285</v>
      </c>
      <c r="D71" s="145">
        <v>1.3</v>
      </c>
      <c r="E71" s="146" t="s">
        <v>88</v>
      </c>
      <c r="F71" s="147">
        <f>1/8</f>
        <v>0.125</v>
      </c>
      <c r="G71" s="148" t="s">
        <v>272</v>
      </c>
      <c r="H71" s="147">
        <v>8</v>
      </c>
      <c r="I71" s="132">
        <f>IF(H71="", D71*F71,D71*F71*H71)</f>
        <v>1.3</v>
      </c>
      <c r="J71" s="104"/>
      <c r="L71" s="129"/>
      <c r="M71" s="129"/>
      <c r="N71" s="129"/>
    </row>
    <row r="72" spans="1:14">
      <c r="A72" s="130" t="s">
        <v>286</v>
      </c>
      <c r="B72" s="131" t="s">
        <v>274</v>
      </c>
      <c r="C72" s="131" t="s">
        <v>287</v>
      </c>
      <c r="D72" s="132">
        <v>0.01</v>
      </c>
      <c r="E72" s="130" t="s">
        <v>89</v>
      </c>
      <c r="F72" s="139">
        <f>7.87*8</f>
        <v>62.96</v>
      </c>
      <c r="G72" s="149" t="s">
        <v>276</v>
      </c>
      <c r="H72" s="150">
        <v>3</v>
      </c>
      <c r="I72" s="132">
        <f t="shared" ref="I72" si="19">IF(H72="", D72*F72,D72*F72*H72)</f>
        <v>1.8888000000000003</v>
      </c>
      <c r="J72" s="104"/>
      <c r="L72" s="129"/>
      <c r="M72" s="129"/>
      <c r="N72" s="129"/>
    </row>
    <row r="73" spans="1:14">
      <c r="A73" s="130" t="s">
        <v>288</v>
      </c>
      <c r="B73" s="131" t="s">
        <v>289</v>
      </c>
      <c r="C73" s="151" t="s">
        <v>290</v>
      </c>
      <c r="D73" s="132">
        <v>0.75</v>
      </c>
      <c r="E73" s="130" t="s">
        <v>291</v>
      </c>
      <c r="F73" s="130">
        <v>162</v>
      </c>
      <c r="G73" s="149"/>
      <c r="H73" s="150"/>
      <c r="I73" s="132">
        <f t="shared" si="18"/>
        <v>121.5</v>
      </c>
      <c r="J73" s="104"/>
      <c r="L73" s="129"/>
      <c r="M73" s="129"/>
      <c r="N73" s="129"/>
    </row>
    <row r="74" spans="1:14">
      <c r="A74" s="130" t="s">
        <v>292</v>
      </c>
      <c r="B74" s="131" t="s">
        <v>293</v>
      </c>
      <c r="C74" s="151" t="s">
        <v>294</v>
      </c>
      <c r="D74" s="132">
        <v>0.02</v>
      </c>
      <c r="E74" s="152" t="s">
        <v>295</v>
      </c>
      <c r="F74" s="153">
        <f>8.74+5.06*8</f>
        <v>49.22</v>
      </c>
      <c r="G74" s="149" t="s">
        <v>276</v>
      </c>
      <c r="H74" s="150">
        <v>3</v>
      </c>
      <c r="I74" s="132">
        <f t="shared" si="18"/>
        <v>2.9532000000000003</v>
      </c>
      <c r="J74" s="104"/>
      <c r="L74" s="129"/>
      <c r="M74" s="129"/>
      <c r="N74" s="129"/>
    </row>
    <row r="75" spans="1:14">
      <c r="A75" s="130" t="s">
        <v>296</v>
      </c>
      <c r="B75" s="131" t="s">
        <v>297</v>
      </c>
      <c r="C75" s="131" t="s">
        <v>298</v>
      </c>
      <c r="D75" s="132">
        <v>0.13</v>
      </c>
      <c r="E75" s="130" t="s">
        <v>88</v>
      </c>
      <c r="F75" s="130">
        <f>89+8</f>
        <v>97</v>
      </c>
      <c r="G75" s="149"/>
      <c r="H75" s="150"/>
      <c r="I75" s="132">
        <f t="shared" si="18"/>
        <v>12.610000000000001</v>
      </c>
      <c r="J75" s="104"/>
    </row>
    <row r="76" spans="1:14">
      <c r="A76" s="130" t="s">
        <v>299</v>
      </c>
      <c r="B76" s="131" t="s">
        <v>300</v>
      </c>
      <c r="C76" s="131" t="s">
        <v>301</v>
      </c>
      <c r="D76" s="132">
        <v>0.15</v>
      </c>
      <c r="E76" s="130" t="s">
        <v>89</v>
      </c>
      <c r="F76" s="150">
        <f>930.078+(5.343*8)</f>
        <v>972.822</v>
      </c>
      <c r="G76" s="149"/>
      <c r="H76" s="150"/>
      <c r="I76" s="132">
        <f t="shared" si="18"/>
        <v>145.92329999999998</v>
      </c>
      <c r="J76" s="104"/>
    </row>
    <row r="77" spans="1:14">
      <c r="A77" s="130" t="s">
        <v>302</v>
      </c>
      <c r="B77" s="44" t="s">
        <v>303</v>
      </c>
      <c r="C77" s="44" t="s">
        <v>304</v>
      </c>
      <c r="D77" s="132">
        <v>10</v>
      </c>
      <c r="E77" s="36" t="s">
        <v>69</v>
      </c>
      <c r="F77" s="46">
        <f>E54</f>
        <v>1.986</v>
      </c>
      <c r="G77" s="47"/>
      <c r="H77" s="36"/>
      <c r="I77" s="48">
        <f>IF(H77&lt;&gt;"",D77*F77*H77,D77*F77)</f>
        <v>19.86</v>
      </c>
      <c r="J77" s="104"/>
    </row>
    <row r="78" spans="1:14">
      <c r="A78" s="130" t="s">
        <v>305</v>
      </c>
      <c r="B78" s="154" t="s">
        <v>306</v>
      </c>
      <c r="C78" s="135" t="s">
        <v>307</v>
      </c>
      <c r="D78" s="155">
        <v>2</v>
      </c>
      <c r="E78" s="156" t="s">
        <v>69</v>
      </c>
      <c r="F78" s="157">
        <f>E54</f>
        <v>1.986</v>
      </c>
      <c r="G78" s="158"/>
      <c r="H78" s="159"/>
      <c r="I78" s="132">
        <f t="shared" si="18"/>
        <v>3.972</v>
      </c>
      <c r="J78" s="104"/>
    </row>
    <row r="79" spans="1:14">
      <c r="A79" s="124"/>
      <c r="B79" s="124"/>
      <c r="C79" s="124"/>
      <c r="D79" s="124"/>
      <c r="E79" s="124"/>
      <c r="F79" s="160"/>
      <c r="G79" s="124"/>
      <c r="H79" s="101" t="s">
        <v>66</v>
      </c>
      <c r="I79" s="161">
        <f>SUM(I60:I78)</f>
        <v>341.14457848689847</v>
      </c>
      <c r="J79" s="104"/>
      <c r="K79" s="104"/>
    </row>
    <row r="80" spans="1:14">
      <c r="J80" s="104"/>
      <c r="K80" s="104"/>
    </row>
    <row r="81" spans="1:11">
      <c r="A81" s="162" t="s">
        <v>53</v>
      </c>
      <c r="B81" s="162" t="s">
        <v>90</v>
      </c>
      <c r="C81" s="162" t="s">
        <v>55</v>
      </c>
      <c r="D81" s="163" t="s">
        <v>56</v>
      </c>
      <c r="E81" s="162" t="s">
        <v>57</v>
      </c>
      <c r="F81" s="162" t="s">
        <v>58</v>
      </c>
      <c r="G81" s="162" t="s">
        <v>59</v>
      </c>
      <c r="H81" s="162" t="s">
        <v>60</v>
      </c>
      <c r="I81" s="162" t="s">
        <v>65</v>
      </c>
      <c r="J81" s="164" t="s">
        <v>66</v>
      </c>
      <c r="K81" s="104"/>
    </row>
    <row r="82" spans="1:11">
      <c r="A82" s="156"/>
      <c r="B82" s="156"/>
      <c r="C82" s="156"/>
      <c r="D82" s="165"/>
      <c r="E82" s="166"/>
      <c r="F82" s="167"/>
      <c r="G82" s="166"/>
      <c r="H82" s="167"/>
      <c r="I82" s="168"/>
      <c r="J82" s="169"/>
      <c r="K82" s="104"/>
    </row>
    <row r="83" spans="1:11">
      <c r="A83" s="170"/>
      <c r="B83" s="170"/>
      <c r="C83" s="170"/>
      <c r="D83" s="171"/>
      <c r="E83" s="170"/>
      <c r="F83" s="170"/>
      <c r="G83" s="170"/>
      <c r="H83" s="170"/>
      <c r="I83" s="172" t="s">
        <v>66</v>
      </c>
      <c r="J83" s="173">
        <f>SUM(J82)</f>
        <v>0</v>
      </c>
      <c r="K83" s="104"/>
    </row>
    <row r="84" spans="1:11">
      <c r="J84" s="104"/>
    </row>
    <row r="85" spans="1:11">
      <c r="A85" s="101" t="s">
        <v>53</v>
      </c>
      <c r="B85" s="101" t="s">
        <v>91</v>
      </c>
      <c r="C85" s="101" t="s">
        <v>55</v>
      </c>
      <c r="D85" s="102" t="s">
        <v>56</v>
      </c>
      <c r="E85" s="101" t="s">
        <v>71</v>
      </c>
      <c r="F85" s="101" t="s">
        <v>65</v>
      </c>
      <c r="G85" s="101" t="s">
        <v>92</v>
      </c>
      <c r="H85" s="101" t="s">
        <v>93</v>
      </c>
      <c r="I85" s="101" t="s">
        <v>66</v>
      </c>
    </row>
    <row r="86" spans="1:11">
      <c r="A86" s="130" t="s">
        <v>94</v>
      </c>
      <c r="B86" s="174" t="s">
        <v>308</v>
      </c>
      <c r="C86" s="174" t="s">
        <v>309</v>
      </c>
      <c r="D86" s="132">
        <v>500</v>
      </c>
      <c r="E86" s="175" t="s">
        <v>310</v>
      </c>
      <c r="F86" s="130">
        <v>56</v>
      </c>
      <c r="G86" s="130">
        <v>3000</v>
      </c>
      <c r="H86" s="130">
        <v>20</v>
      </c>
      <c r="I86" s="176">
        <f>IFERROR(D86*F86/(G86*H86),0)</f>
        <v>0.46666666666666667</v>
      </c>
      <c r="J86" s="104"/>
      <c r="K86" s="104"/>
    </row>
    <row r="87" spans="1:11">
      <c r="A87" s="177"/>
      <c r="B87" s="177"/>
      <c r="C87" s="177"/>
      <c r="D87" s="177"/>
      <c r="E87" s="177"/>
      <c r="F87" s="177"/>
      <c r="G87" s="177"/>
      <c r="H87" s="101" t="s">
        <v>66</v>
      </c>
      <c r="I87" s="161">
        <f>SUM(I86)</f>
        <v>0.46666666666666667</v>
      </c>
    </row>
  </sheetData>
  <dataValidations count="5">
    <dataValidation type="custom" allowBlank="1" showErrorMessage="1" sqref="J83" xr:uid="{EC45342A-A5C8-4577-81AB-E208F4461816}">
      <formula1>SUM(J82)</formula1>
    </dataValidation>
    <dataValidation type="custom" allowBlank="1" showErrorMessage="1" sqref="J82" xr:uid="{9EE181DA-2D88-4B9F-AB76-D301D81FB90D}">
      <formula1>D82*I82</formula1>
    </dataValidation>
    <dataValidation type="custom" allowBlank="1" showErrorMessage="1" sqref="N10:N56" xr:uid="{1B6066C2-7C99-428B-8926-E27414BBF686}">
      <formula1>M10*D10</formula1>
    </dataValidation>
    <dataValidation type="custom" allowBlank="1" showInputMessage="1" showErrorMessage="1" prompt=" - " sqref="I77" xr:uid="{FCFFD9C1-5103-4C8A-83CF-E7D2C66BDD98}">
      <formula1>IF(H77=0,1,H77)*D77*F77</formula1>
    </dataValidation>
    <dataValidation type="list" allowBlank="1" showInputMessage="1" showErrorMessage="1" sqref="E3" xr:uid="{A73F372D-0D5F-4D5F-BF28-43492C88D61A}">
      <formula1>"Aço, Titanio, Aluminio, Inox"</formula1>
    </dataValidation>
  </dataValidations>
  <hyperlinks>
    <hyperlink ref="K3" location="BOM!A1" display="BOM" xr:uid="{7E7BEA3E-1376-474C-BEF8-1A258182F238}"/>
    <hyperlink ref="K4" location="'Cost Summary'!A1" display="Cost Summary" xr:uid="{5D0331ED-30E1-4A21-8C80-52E0AF23EBED}"/>
    <hyperlink ref="K5" location="'A_Tubular Frame'!A1" display="A_Tubular Frame" xr:uid="{FAEC942D-BE4E-4B06-A4FE-B80A6B8F207F}"/>
  </hyperlink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BF29-5347-4DD1-8211-0FFCE07521EC}">
  <sheetPr>
    <tabColor rgb="FFFF0000"/>
  </sheetPr>
  <dimension ref="A1:O28"/>
  <sheetViews>
    <sheetView showGridLines="0" zoomScale="45" zoomScaleNormal="55" workbookViewId="0">
      <selection activeCell="N10" sqref="N10"/>
    </sheetView>
  </sheetViews>
  <sheetFormatPr defaultRowHeight="14.5"/>
  <cols>
    <col min="1" max="1" width="18.1796875" customWidth="1"/>
    <col min="2" max="2" width="46.453125" customWidth="1"/>
    <col min="3" max="3" width="79.453125" customWidth="1"/>
    <col min="4" max="4" width="15" customWidth="1"/>
    <col min="5" max="5" width="8.26953125" customWidth="1"/>
    <col min="6" max="6" width="10.26953125" customWidth="1"/>
    <col min="7" max="7" width="20.54296875" customWidth="1"/>
    <col min="9" max="9" width="22.1796875" customWidth="1"/>
    <col min="10" max="10" width="14.26953125" bestFit="1" customWidth="1"/>
    <col min="11" max="11" width="12.7265625" customWidth="1"/>
    <col min="12" max="12" width="11" customWidth="1"/>
    <col min="13" max="13" width="12.54296875" customWidth="1"/>
    <col min="14" max="15" width="16.81640625" customWidth="1"/>
  </cols>
  <sheetData>
    <row r="1" spans="1:15">
      <c r="A1" s="14" t="s">
        <v>30</v>
      </c>
      <c r="B1" s="15" t="s">
        <v>31</v>
      </c>
      <c r="C1" s="15"/>
      <c r="D1" s="16"/>
      <c r="E1" s="15"/>
      <c r="F1" s="15"/>
      <c r="G1" s="15"/>
      <c r="H1" s="15"/>
      <c r="I1" s="15"/>
      <c r="J1" s="17" t="s">
        <v>32</v>
      </c>
      <c r="K1" s="18">
        <v>2</v>
      </c>
      <c r="L1" s="15"/>
      <c r="M1" s="17" t="s">
        <v>33</v>
      </c>
      <c r="N1" s="19">
        <f>N11+I20+J24+I28</f>
        <v>6133.2595034482765</v>
      </c>
      <c r="O1" s="19"/>
    </row>
    <row r="2" spans="1:15">
      <c r="A2" s="14" t="s">
        <v>34</v>
      </c>
      <c r="B2" s="15" t="s">
        <v>35</v>
      </c>
      <c r="C2" s="15"/>
      <c r="D2" s="15"/>
      <c r="E2" s="15"/>
      <c r="F2" s="15"/>
      <c r="G2" s="15"/>
      <c r="H2" s="15"/>
      <c r="I2" s="15"/>
      <c r="J2" s="16"/>
      <c r="K2" s="15"/>
      <c r="L2" s="15"/>
      <c r="M2" s="14" t="s">
        <v>36</v>
      </c>
      <c r="N2" s="84">
        <v>1</v>
      </c>
      <c r="O2" s="20"/>
    </row>
    <row r="3" spans="1:15">
      <c r="A3" s="14" t="s">
        <v>37</v>
      </c>
      <c r="B3" s="15" t="s">
        <v>38</v>
      </c>
      <c r="C3" s="15"/>
      <c r="D3" s="15"/>
      <c r="E3" s="15"/>
      <c r="F3" s="15"/>
      <c r="G3" s="15"/>
      <c r="H3" s="15"/>
      <c r="I3" s="15"/>
      <c r="J3" s="14" t="s">
        <v>39</v>
      </c>
      <c r="K3" s="21" t="s">
        <v>40</v>
      </c>
      <c r="L3" s="15"/>
      <c r="M3" s="16"/>
      <c r="N3" s="15"/>
      <c r="O3" s="15"/>
    </row>
    <row r="4" spans="1:15">
      <c r="A4" s="14" t="s">
        <v>41</v>
      </c>
      <c r="B4" s="22" t="s">
        <v>38</v>
      </c>
      <c r="C4" s="15"/>
      <c r="D4" s="15"/>
      <c r="E4" s="15"/>
      <c r="F4" s="15"/>
      <c r="G4" s="15"/>
      <c r="H4" s="15"/>
      <c r="I4" s="15"/>
      <c r="J4" s="14" t="s">
        <v>42</v>
      </c>
      <c r="K4" s="21" t="s">
        <v>43</v>
      </c>
      <c r="L4" s="15"/>
      <c r="M4" s="14" t="s">
        <v>44</v>
      </c>
      <c r="N4" s="19">
        <f>N1*N2</f>
        <v>6133.2595034482765</v>
      </c>
      <c r="O4" s="19"/>
    </row>
    <row r="5" spans="1:15">
      <c r="A5" s="14" t="s">
        <v>45</v>
      </c>
      <c r="B5" s="15" t="s">
        <v>46</v>
      </c>
      <c r="C5" s="15"/>
      <c r="D5" s="15"/>
      <c r="E5" s="15"/>
      <c r="F5" s="15"/>
      <c r="G5" s="15"/>
      <c r="H5" s="15"/>
      <c r="I5" s="15"/>
      <c r="J5" s="14" t="s">
        <v>47</v>
      </c>
      <c r="K5" s="23" t="s">
        <v>48</v>
      </c>
      <c r="L5" s="15"/>
      <c r="M5" s="15"/>
      <c r="N5" s="15"/>
      <c r="O5" s="15"/>
    </row>
    <row r="6" spans="1:15">
      <c r="A6" s="14" t="s">
        <v>49</v>
      </c>
      <c r="B6" s="15" t="s">
        <v>50</v>
      </c>
      <c r="C6" s="15"/>
      <c r="D6" s="15"/>
      <c r="E6" s="15"/>
      <c r="F6" s="15"/>
      <c r="G6" s="15"/>
      <c r="H6" s="15"/>
      <c r="I6" s="15"/>
      <c r="J6" s="15"/>
      <c r="K6" s="24"/>
      <c r="L6" s="15"/>
      <c r="M6" s="15"/>
      <c r="N6" s="15"/>
      <c r="O6" s="15"/>
    </row>
    <row r="7" spans="1:15">
      <c r="A7" s="14" t="s">
        <v>51</v>
      </c>
      <c r="B7" s="15" t="s">
        <v>52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15"/>
    </row>
    <row r="9" spans="1:15">
      <c r="A9" s="26" t="s">
        <v>53</v>
      </c>
      <c r="B9" s="27" t="s">
        <v>54</v>
      </c>
      <c r="C9" s="27" t="s">
        <v>55</v>
      </c>
      <c r="D9" s="27" t="s">
        <v>56</v>
      </c>
      <c r="E9" s="27" t="s">
        <v>57</v>
      </c>
      <c r="F9" s="27" t="s">
        <v>58</v>
      </c>
      <c r="G9" s="27" t="s">
        <v>59</v>
      </c>
      <c r="H9" s="27" t="s">
        <v>60</v>
      </c>
      <c r="I9" s="27" t="s">
        <v>61</v>
      </c>
      <c r="J9" s="27" t="s">
        <v>62</v>
      </c>
      <c r="K9" s="27" t="s">
        <v>63</v>
      </c>
      <c r="L9" s="27" t="s">
        <v>64</v>
      </c>
      <c r="M9" s="27" t="s">
        <v>65</v>
      </c>
      <c r="N9" s="27" t="s">
        <v>66</v>
      </c>
      <c r="O9" s="58"/>
    </row>
    <row r="10" spans="1:15">
      <c r="A10" s="28" t="s">
        <v>67</v>
      </c>
      <c r="B10" s="29" t="s">
        <v>133</v>
      </c>
      <c r="C10" s="29" t="str">
        <f>IF(B10="Carbon Fiber, 1 Ply","Carbon Fiber used to laminate Steering Wheel",IF(B10="Glass Fiber, 1 Ply","Glass Fiber used to laminate Steering Wheel",IF(B10="Aramid (Kevlar) Fiber, 1 Ply","Aramid used to laminate Steering Wheel","")))</f>
        <v>Aramid used to laminate Steering Wheel</v>
      </c>
      <c r="D10" s="30">
        <f>IF(B10="Carbon Fiber, 1 Ply",200,IF(B10="Glass Fiber, 1 Ply",100,IF(B10="Aramid (Kevlar) Fiber, 1 Ply",150,"")))</f>
        <v>150</v>
      </c>
      <c r="E10" s="31">
        <f>J10*K10*L10</f>
        <v>1.1027720000000001</v>
      </c>
      <c r="F10" s="28" t="s">
        <v>68</v>
      </c>
      <c r="G10" s="28"/>
      <c r="H10" s="32"/>
      <c r="I10" s="33" t="s">
        <v>130</v>
      </c>
      <c r="J10" s="34">
        <v>3.1063999999999998</v>
      </c>
      <c r="K10" s="31">
        <v>2.5000000000000001E-4</v>
      </c>
      <c r="L10" s="35">
        <f>IF(B10="Carbon Fiber, 1 Ply",1580,IF(B10="Glass Fiber, 1 Ply",2200,IF(B10="Aramid (Kevlar) Fiber, 1 Ply",1420,"")))</f>
        <v>1420</v>
      </c>
      <c r="M10" s="35">
        <f>IF(B10="Carbon Fiber, 1 Ply",5/0.29,IF(B10="Glass Fiber, 1 Ply",12/0.29,IF(B10="Aramid (Kevlar) Fiber, 1 Ply",10/0.29,"")))</f>
        <v>34.482758620689658</v>
      </c>
      <c r="N10" s="30">
        <f>IF(J10="",D10*M10,D10*J10*K10*L10*M10)</f>
        <v>5703.9931034482761</v>
      </c>
      <c r="O10" s="59"/>
    </row>
    <row r="11" spans="1:15">
      <c r="A11" s="37"/>
      <c r="B11" s="38"/>
      <c r="C11" s="15"/>
      <c r="D11" s="15"/>
      <c r="E11" s="15"/>
      <c r="F11" s="15"/>
      <c r="G11" s="15"/>
      <c r="H11" s="15"/>
      <c r="I11" s="15"/>
      <c r="J11" s="15"/>
      <c r="K11" s="15"/>
      <c r="L11" s="39"/>
      <c r="M11" s="40" t="s">
        <v>66</v>
      </c>
      <c r="N11" s="41">
        <f>SUM(N10:N10)</f>
        <v>5703.9931034482761</v>
      </c>
      <c r="O11" s="59">
        <f>N11*$N$2</f>
        <v>5703.9931034482761</v>
      </c>
    </row>
    <row r="12" spans="1:15">
      <c r="A12" s="24"/>
      <c r="B12" s="24"/>
      <c r="C12" s="24"/>
      <c r="D12" s="24"/>
      <c r="E12" s="24"/>
      <c r="F12" s="24"/>
      <c r="G12" s="24"/>
      <c r="H12" s="24"/>
      <c r="I12" s="24"/>
      <c r="J12" s="85"/>
      <c r="K12" s="24"/>
      <c r="L12" s="24"/>
      <c r="M12" s="24"/>
      <c r="N12" s="24"/>
      <c r="O12" s="24"/>
    </row>
    <row r="13" spans="1:15">
      <c r="A13" s="42" t="s">
        <v>53</v>
      </c>
      <c r="B13" s="42" t="s">
        <v>70</v>
      </c>
      <c r="C13" s="42" t="s">
        <v>55</v>
      </c>
      <c r="D13" s="42" t="s">
        <v>56</v>
      </c>
      <c r="E13" s="42" t="s">
        <v>71</v>
      </c>
      <c r="F13" s="42" t="s">
        <v>65</v>
      </c>
      <c r="G13" s="42" t="s">
        <v>72</v>
      </c>
      <c r="H13" s="42" t="s">
        <v>73</v>
      </c>
      <c r="I13" s="42" t="s">
        <v>66</v>
      </c>
      <c r="J13" s="15"/>
      <c r="K13" s="24"/>
      <c r="L13" s="24"/>
      <c r="M13" s="24"/>
      <c r="N13" s="24"/>
      <c r="O13" s="24"/>
    </row>
    <row r="14" spans="1:15">
      <c r="A14" s="43" t="s">
        <v>74</v>
      </c>
      <c r="B14" s="44" t="s">
        <v>75</v>
      </c>
      <c r="C14" s="44" t="s">
        <v>76</v>
      </c>
      <c r="D14" s="45">
        <f>IF(B14="Lamination, Manual",35,25)</f>
        <v>35</v>
      </c>
      <c r="E14" s="36" t="str">
        <f>IF(B14="Lamination, Manual","m^2","kg")</f>
        <v>m^2</v>
      </c>
      <c r="F14" s="46">
        <f>IF(B14="Lamination, Manual",J10,E10)</f>
        <v>3.1063999999999998</v>
      </c>
      <c r="G14" s="47" t="s">
        <v>77</v>
      </c>
      <c r="H14" s="36">
        <v>2</v>
      </c>
      <c r="I14" s="48">
        <f>IF($H14&lt;&gt;"",$D14*$F14*$H14,$D14*$F14)</f>
        <v>217.44799999999998</v>
      </c>
      <c r="J14" s="15"/>
      <c r="K14" s="24"/>
      <c r="L14" s="24"/>
      <c r="M14" s="24"/>
      <c r="N14" s="24"/>
      <c r="O14" s="24"/>
    </row>
    <row r="15" spans="1:15">
      <c r="A15" s="43" t="s">
        <v>78</v>
      </c>
      <c r="B15" s="44" t="s">
        <v>132</v>
      </c>
      <c r="C15" s="29" t="s">
        <v>79</v>
      </c>
      <c r="D15" s="45">
        <f>IF(B15="Resin application, Infusion Molding",2.5,5)</f>
        <v>2.5</v>
      </c>
      <c r="E15" s="36" t="s">
        <v>69</v>
      </c>
      <c r="F15" s="46">
        <f>F14</f>
        <v>3.1063999999999998</v>
      </c>
      <c r="G15" s="47" t="s">
        <v>77</v>
      </c>
      <c r="H15" s="36">
        <v>2</v>
      </c>
      <c r="I15" s="48">
        <f t="shared" ref="I15:I19" si="0">IF($H15&lt;&gt;"",$D15*$F15*$H15,$D15*$F15)</f>
        <v>15.532</v>
      </c>
      <c r="J15" s="15"/>
      <c r="K15" s="24"/>
      <c r="L15" s="24"/>
      <c r="M15" s="24"/>
      <c r="N15" s="24"/>
      <c r="O15" s="24"/>
    </row>
    <row r="16" spans="1:15">
      <c r="A16" s="43" t="s">
        <v>80</v>
      </c>
      <c r="B16" s="44" t="s">
        <v>81</v>
      </c>
      <c r="C16" s="29" t="s">
        <v>82</v>
      </c>
      <c r="D16" s="45">
        <v>10</v>
      </c>
      <c r="E16" s="36" t="s">
        <v>69</v>
      </c>
      <c r="F16" s="46">
        <f t="shared" ref="F16:F17" si="1">F15</f>
        <v>3.1063999999999998</v>
      </c>
      <c r="G16" s="47"/>
      <c r="H16" s="36"/>
      <c r="I16" s="48">
        <f t="shared" si="0"/>
        <v>31.064</v>
      </c>
      <c r="J16" s="15"/>
      <c r="K16" s="24"/>
      <c r="L16" s="24"/>
      <c r="M16" s="24"/>
      <c r="N16" s="24"/>
      <c r="O16" s="24"/>
    </row>
    <row r="17" spans="1:15">
      <c r="A17" s="43" t="s">
        <v>83</v>
      </c>
      <c r="B17" s="44" t="s">
        <v>131</v>
      </c>
      <c r="C17" s="29" t="s">
        <v>84</v>
      </c>
      <c r="D17" s="45">
        <f>IF(B17="Cure, Room Temperature",10,IF(B17="Cure, Oven",20,IF(B17="Cure, Autoclave",50,"")))</f>
        <v>50</v>
      </c>
      <c r="E17" s="36" t="s">
        <v>69</v>
      </c>
      <c r="F17" s="46">
        <f t="shared" si="1"/>
        <v>3.1063999999999998</v>
      </c>
      <c r="G17" s="47"/>
      <c r="H17" s="36"/>
      <c r="I17" s="48">
        <f t="shared" si="0"/>
        <v>155.32</v>
      </c>
      <c r="J17" s="15"/>
      <c r="K17" s="24"/>
      <c r="L17" s="24"/>
      <c r="M17" s="24"/>
      <c r="N17" s="24"/>
      <c r="O17" s="24"/>
    </row>
    <row r="18" spans="1:15">
      <c r="A18" s="43" t="s">
        <v>85</v>
      </c>
      <c r="B18" s="44" t="s">
        <v>86</v>
      </c>
      <c r="C18" s="29" t="s">
        <v>87</v>
      </c>
      <c r="D18" s="45">
        <v>1.3</v>
      </c>
      <c r="E18" s="36" t="s">
        <v>88</v>
      </c>
      <c r="F18" s="49">
        <v>1</v>
      </c>
      <c r="G18" s="47"/>
      <c r="H18" s="36"/>
      <c r="I18" s="48">
        <f t="shared" si="0"/>
        <v>1.3</v>
      </c>
      <c r="J18" s="15"/>
      <c r="K18" s="24"/>
      <c r="L18" s="24"/>
      <c r="M18" s="24"/>
      <c r="N18" s="24"/>
      <c r="O18" s="24"/>
    </row>
    <row r="19" spans="1:15">
      <c r="A19" s="43" t="s">
        <v>99</v>
      </c>
      <c r="B19" s="44" t="s">
        <v>97</v>
      </c>
      <c r="C19" s="29" t="s">
        <v>98</v>
      </c>
      <c r="D19" s="45">
        <v>0.01</v>
      </c>
      <c r="E19" s="36" t="s">
        <v>89</v>
      </c>
      <c r="F19" s="60">
        <v>704.92</v>
      </c>
      <c r="G19" s="47"/>
      <c r="H19" s="36"/>
      <c r="I19" s="48">
        <f t="shared" si="0"/>
        <v>7.0491999999999999</v>
      </c>
      <c r="J19" s="15"/>
      <c r="K19" s="24"/>
      <c r="L19" s="24"/>
      <c r="M19" s="24"/>
      <c r="N19" s="24"/>
      <c r="O19" s="24"/>
    </row>
    <row r="20" spans="1:15">
      <c r="A20" s="15"/>
      <c r="B20" s="24"/>
      <c r="C20" s="15"/>
      <c r="D20" s="15"/>
      <c r="E20" s="15"/>
      <c r="F20" s="15"/>
      <c r="G20" s="39"/>
      <c r="H20" s="40" t="s">
        <v>66</v>
      </c>
      <c r="I20" s="41">
        <f>SUM(I14:I19)</f>
        <v>427.71319999999997</v>
      </c>
      <c r="J20" s="59">
        <f>I20*$N$2</f>
        <v>427.71319999999997</v>
      </c>
      <c r="K20" s="24"/>
      <c r="L20" s="24"/>
      <c r="M20" s="24"/>
      <c r="N20" s="24"/>
      <c r="O20" s="24"/>
    </row>
    <row r="21" spans="1:15">
      <c r="A21" s="24"/>
      <c r="B21" s="25"/>
      <c r="C21" s="25"/>
      <c r="D21" s="25"/>
      <c r="E21" s="25"/>
      <c r="F21" s="25"/>
      <c r="G21" s="25"/>
      <c r="H21" s="25"/>
      <c r="I21" s="25"/>
      <c r="J21" s="15"/>
      <c r="K21" s="24"/>
      <c r="L21" s="24"/>
      <c r="M21" s="24"/>
      <c r="N21" s="24"/>
      <c r="O21" s="24"/>
    </row>
    <row r="22" spans="1:15">
      <c r="A22" s="42" t="s">
        <v>53</v>
      </c>
      <c r="B22" s="27" t="s">
        <v>90</v>
      </c>
      <c r="C22" s="27" t="s">
        <v>55</v>
      </c>
      <c r="D22" s="27" t="s">
        <v>56</v>
      </c>
      <c r="E22" s="27" t="s">
        <v>57</v>
      </c>
      <c r="F22" s="27" t="s">
        <v>58</v>
      </c>
      <c r="G22" s="27" t="s">
        <v>59</v>
      </c>
      <c r="H22" s="27" t="s">
        <v>60</v>
      </c>
      <c r="I22" s="50" t="s">
        <v>65</v>
      </c>
      <c r="J22" s="42" t="s">
        <v>66</v>
      </c>
      <c r="K22" s="24"/>
      <c r="L22" s="24"/>
      <c r="M22" s="24"/>
      <c r="N22" s="24"/>
      <c r="O22" s="24"/>
    </row>
    <row r="23" spans="1:15">
      <c r="A23" s="51"/>
      <c r="B23" s="44"/>
      <c r="C23" s="44"/>
      <c r="D23" s="44"/>
      <c r="E23" s="44"/>
      <c r="F23" s="52"/>
      <c r="G23" s="44"/>
      <c r="H23" s="44"/>
      <c r="I23" s="53"/>
      <c r="J23" s="54"/>
      <c r="K23" s="24"/>
      <c r="L23" s="24"/>
      <c r="M23" s="24"/>
      <c r="N23" s="24"/>
      <c r="O23" s="24"/>
    </row>
    <row r="24" spans="1:15">
      <c r="A24" s="15"/>
      <c r="B24" s="15"/>
      <c r="C24" s="15"/>
      <c r="D24" s="15"/>
      <c r="E24" s="15"/>
      <c r="F24" s="15"/>
      <c r="G24" s="15"/>
      <c r="H24" s="15"/>
      <c r="I24" s="55" t="s">
        <v>66</v>
      </c>
      <c r="J24" s="41">
        <f>SUM(J23)</f>
        <v>0</v>
      </c>
      <c r="K24" s="59">
        <f>J24*$N$2</f>
        <v>0</v>
      </c>
      <c r="L24" s="24"/>
      <c r="M24" s="24"/>
      <c r="N24" s="24"/>
      <c r="O24" s="24"/>
    </row>
    <row r="25" spans="1:1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>
      <c r="A26" s="42" t="s">
        <v>53</v>
      </c>
      <c r="B26" s="42" t="s">
        <v>91</v>
      </c>
      <c r="C26" s="42" t="s">
        <v>55</v>
      </c>
      <c r="D26" s="42" t="s">
        <v>56</v>
      </c>
      <c r="E26" s="42" t="s">
        <v>71</v>
      </c>
      <c r="F26" s="42" t="s">
        <v>65</v>
      </c>
      <c r="G26" s="42" t="s">
        <v>92</v>
      </c>
      <c r="H26" s="42" t="s">
        <v>93</v>
      </c>
      <c r="I26" s="42" t="s">
        <v>66</v>
      </c>
      <c r="J26" s="24"/>
      <c r="K26" s="24"/>
      <c r="L26" s="24"/>
      <c r="M26" s="24"/>
      <c r="N26" s="24"/>
      <c r="O26" s="24"/>
    </row>
    <row r="27" spans="1:15">
      <c r="A27" s="28" t="s">
        <v>94</v>
      </c>
      <c r="B27" s="29" t="s">
        <v>95</v>
      </c>
      <c r="C27" s="29" t="s">
        <v>96</v>
      </c>
      <c r="D27" s="56">
        <v>1500</v>
      </c>
      <c r="E27" s="28" t="s">
        <v>69</v>
      </c>
      <c r="F27" s="57">
        <f>J10</f>
        <v>3.1063999999999998</v>
      </c>
      <c r="G27" s="28">
        <v>3000</v>
      </c>
      <c r="H27" s="28">
        <v>1</v>
      </c>
      <c r="I27" s="56">
        <f>(D27*F27)/(G27*H27)</f>
        <v>1.5531999999999999</v>
      </c>
      <c r="J27" s="24"/>
      <c r="K27" s="24"/>
      <c r="L27" s="24"/>
      <c r="M27" s="24"/>
      <c r="N27" s="24"/>
      <c r="O27" s="24"/>
    </row>
    <row r="28" spans="1:15">
      <c r="A28" s="15"/>
      <c r="B28" s="15"/>
      <c r="C28" s="15"/>
      <c r="D28" s="15"/>
      <c r="E28" s="15"/>
      <c r="F28" s="15"/>
      <c r="G28" s="39"/>
      <c r="H28" s="40" t="s">
        <v>66</v>
      </c>
      <c r="I28" s="41">
        <f>SUM(I27)</f>
        <v>1.5531999999999999</v>
      </c>
      <c r="J28" s="59">
        <f>I28*$N$2</f>
        <v>1.5531999999999999</v>
      </c>
      <c r="K28" s="24"/>
      <c r="L28" s="24"/>
      <c r="M28" s="24"/>
      <c r="N28" s="24"/>
      <c r="O28" s="24"/>
    </row>
  </sheetData>
  <dataValidations count="4">
    <dataValidation allowBlank="1" showErrorMessage="1" sqref="I27" xr:uid="{65089E0C-12EE-4BDD-B9DE-8FD65BE8A82B}"/>
    <dataValidation type="list" allowBlank="1" showInputMessage="1" showErrorMessage="1" sqref="B10" xr:uid="{4B1D38F3-7420-4F95-8ADD-AC35FC3FCB11}">
      <mc:AlternateContent xmlns:x12ac="http://schemas.microsoft.com/office/spreadsheetml/2011/1/ac" xmlns:mc="http://schemas.openxmlformats.org/markup-compatibility/2006">
        <mc:Choice Requires="x12ac">
          <x12ac:list>"Glass Fiber, 1 Ply"," Carbon Fiber, 1 Ply"," Aramid (Kevlar) Fiber, 1 Ply"</x12ac:list>
        </mc:Choice>
        <mc:Fallback>
          <formula1>"Glass Fiber, 1 Ply, Carbon Fiber, 1 Ply, Aramid (Kevlar) Fiber, 1 Ply"</formula1>
        </mc:Fallback>
      </mc:AlternateContent>
    </dataValidation>
    <dataValidation type="list" allowBlank="1" showInputMessage="1" showErrorMessage="1" sqref="B15" xr:uid="{FD54C0AD-22B4-406C-864A-80634B57F56D}">
      <mc:AlternateContent xmlns:x12ac="http://schemas.microsoft.com/office/spreadsheetml/2011/1/ac" xmlns:mc="http://schemas.openxmlformats.org/markup-compatibility/2006">
        <mc:Choice Requires="x12ac">
          <x12ac:list>"Resin application, Manual"," Resin application, Infusion Molding"</x12ac:list>
        </mc:Choice>
        <mc:Fallback>
          <formula1>"Resin application, Manual, Resin application, Infusion Molding"</formula1>
        </mc:Fallback>
      </mc:AlternateContent>
    </dataValidation>
    <dataValidation type="list" allowBlank="1" showInputMessage="1" showErrorMessage="1" sqref="B17" xr:uid="{F0E83424-A4E7-403A-AA92-6B0A6B2E2D6E}">
      <mc:AlternateContent xmlns:x12ac="http://schemas.microsoft.com/office/spreadsheetml/2011/1/ac" xmlns:mc="http://schemas.openxmlformats.org/markup-compatibility/2006">
        <mc:Choice Requires="x12ac">
          <x12ac:list>"Cure, Autoclave"," Cure, Oven","  Cure, Room Temperature"</x12ac:list>
        </mc:Choice>
        <mc:Fallback>
          <formula1>"Cure, Autoclave, Cure, Oven,  Cure, Room Temperature"</formula1>
        </mc:Fallback>
      </mc:AlternateContent>
    </dataValidation>
  </dataValidations>
  <hyperlinks>
    <hyperlink ref="K3" location="BOM!A1" display="BOM" xr:uid="{549F0014-8FC9-4111-99D1-A441C856B6E7}"/>
    <hyperlink ref="K4" location="'Cost Summary'!A1" display="Cost Summary" xr:uid="{09346A91-ADD8-4426-A283-F8F01A902533}"/>
    <hyperlink ref="K5" location="'A_Steering Wheel'!A1" display="A_Steering Wheel" xr:uid="{5E1DD7C5-9A2D-4083-9FF2-5CC0166E9D55}"/>
  </hyperlink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2FFB-F003-41CE-ACEA-5DD86B199764}">
  <sheetPr>
    <tabColor rgb="FFFF0000"/>
  </sheetPr>
  <dimension ref="A1:O35"/>
  <sheetViews>
    <sheetView showGridLines="0" zoomScale="45" zoomScaleNormal="55" workbookViewId="0">
      <selection activeCell="K20" sqref="K20"/>
    </sheetView>
  </sheetViews>
  <sheetFormatPr defaultRowHeight="14.5"/>
  <cols>
    <col min="1" max="1" width="18.1796875" customWidth="1"/>
    <col min="2" max="2" width="46.453125" customWidth="1"/>
    <col min="3" max="3" width="113.81640625" bestFit="1" customWidth="1"/>
    <col min="4" max="4" width="15" customWidth="1"/>
    <col min="5" max="5" width="8.26953125" customWidth="1"/>
    <col min="6" max="6" width="10.26953125" customWidth="1"/>
    <col min="7" max="7" width="20.54296875" customWidth="1"/>
    <col min="8" max="8" width="12.453125" bestFit="1" customWidth="1"/>
    <col min="9" max="9" width="22.1796875" customWidth="1"/>
    <col min="10" max="10" width="14.26953125" bestFit="1" customWidth="1"/>
    <col min="11" max="11" width="12.7265625" customWidth="1"/>
    <col min="12" max="12" width="11" customWidth="1"/>
    <col min="13" max="13" width="12.54296875" customWidth="1"/>
    <col min="14" max="15" width="16.81640625" customWidth="1"/>
  </cols>
  <sheetData>
    <row r="1" spans="1:15">
      <c r="A1" s="14" t="s">
        <v>30</v>
      </c>
      <c r="B1" s="15" t="s">
        <v>31</v>
      </c>
      <c r="C1" s="15"/>
      <c r="D1" s="16"/>
      <c r="E1" s="15"/>
      <c r="F1" s="15"/>
      <c r="G1" s="15"/>
      <c r="H1" s="15"/>
      <c r="I1" s="15"/>
      <c r="J1" s="17" t="s">
        <v>32</v>
      </c>
      <c r="K1" s="18">
        <v>2</v>
      </c>
      <c r="L1" s="15"/>
      <c r="M1" s="17" t="s">
        <v>33</v>
      </c>
      <c r="N1" s="19">
        <f>N14+I27+J29+I35</f>
        <v>311.45689230942355</v>
      </c>
      <c r="O1" s="19"/>
    </row>
    <row r="2" spans="1:15">
      <c r="A2" s="14" t="s">
        <v>34</v>
      </c>
      <c r="B2" s="15" t="s">
        <v>35</v>
      </c>
      <c r="C2" s="15"/>
      <c r="D2" s="15"/>
      <c r="E2" s="15"/>
      <c r="F2" s="15"/>
      <c r="G2" s="15"/>
      <c r="H2" s="15"/>
      <c r="I2" s="15"/>
      <c r="J2" s="16"/>
      <c r="K2" s="15"/>
      <c r="L2" s="15"/>
      <c r="M2" s="14" t="s">
        <v>36</v>
      </c>
      <c r="N2" s="20">
        <v>1</v>
      </c>
      <c r="O2" s="20"/>
    </row>
    <row r="3" spans="1:15">
      <c r="A3" s="14" t="s">
        <v>37</v>
      </c>
      <c r="B3" s="15" t="s">
        <v>38</v>
      </c>
      <c r="C3" s="15"/>
      <c r="D3" s="15"/>
      <c r="E3" s="15"/>
      <c r="F3" s="15"/>
      <c r="G3" s="15"/>
      <c r="H3" s="15"/>
      <c r="I3" s="15"/>
      <c r="J3" s="14" t="s">
        <v>39</v>
      </c>
      <c r="K3" s="21" t="s">
        <v>40</v>
      </c>
      <c r="L3" s="15"/>
      <c r="M3" s="16"/>
      <c r="N3" s="15"/>
      <c r="O3" s="15"/>
    </row>
    <row r="4" spans="1:15">
      <c r="A4" s="14" t="s">
        <v>41</v>
      </c>
      <c r="B4" s="22" t="s">
        <v>38</v>
      </c>
      <c r="C4" s="15"/>
      <c r="D4" s="15"/>
      <c r="E4" s="15"/>
      <c r="F4" s="15"/>
      <c r="G4" s="15"/>
      <c r="H4" s="15"/>
      <c r="I4" s="15"/>
      <c r="J4" s="14" t="s">
        <v>42</v>
      </c>
      <c r="K4" s="21" t="s">
        <v>43</v>
      </c>
      <c r="L4" s="15"/>
      <c r="M4" s="14" t="s">
        <v>44</v>
      </c>
      <c r="N4" s="19">
        <f>N1*N2</f>
        <v>311.45689230942355</v>
      </c>
      <c r="O4" s="19"/>
    </row>
    <row r="5" spans="1:15">
      <c r="A5" s="14" t="s">
        <v>45</v>
      </c>
      <c r="B5" s="15" t="s">
        <v>46</v>
      </c>
      <c r="C5" s="15"/>
      <c r="D5" s="15"/>
      <c r="E5" s="15"/>
      <c r="F5" s="15"/>
      <c r="G5" s="15"/>
      <c r="H5" s="15"/>
      <c r="I5" s="15"/>
      <c r="J5" s="14" t="s">
        <v>47</v>
      </c>
      <c r="K5" s="23" t="s">
        <v>48</v>
      </c>
      <c r="L5" s="15"/>
      <c r="M5" s="15"/>
      <c r="N5" s="15"/>
      <c r="O5" s="15"/>
    </row>
    <row r="6" spans="1:15">
      <c r="A6" s="14" t="s">
        <v>49</v>
      </c>
      <c r="B6" s="15" t="s">
        <v>50</v>
      </c>
      <c r="C6" s="15"/>
      <c r="D6" s="15"/>
      <c r="E6" s="15"/>
      <c r="F6" s="15"/>
      <c r="G6" s="15"/>
      <c r="H6" s="15"/>
      <c r="I6" s="15"/>
      <c r="J6" s="15"/>
      <c r="K6" s="24"/>
      <c r="L6" s="15"/>
      <c r="M6" s="15"/>
      <c r="N6" s="15"/>
      <c r="O6" s="15"/>
    </row>
    <row r="7" spans="1:15">
      <c r="A7" s="14" t="s">
        <v>51</v>
      </c>
      <c r="B7" s="15" t="s">
        <v>52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15"/>
    </row>
    <row r="9" spans="1:15">
      <c r="A9" s="26" t="s">
        <v>53</v>
      </c>
      <c r="B9" s="27" t="s">
        <v>54</v>
      </c>
      <c r="C9" s="27" t="s">
        <v>55</v>
      </c>
      <c r="D9" s="27" t="s">
        <v>56</v>
      </c>
      <c r="E9" s="27" t="s">
        <v>57</v>
      </c>
      <c r="F9" s="27" t="s">
        <v>58</v>
      </c>
      <c r="G9" s="27" t="s">
        <v>59</v>
      </c>
      <c r="H9" s="27" t="s">
        <v>60</v>
      </c>
      <c r="I9" s="27" t="s">
        <v>61</v>
      </c>
      <c r="J9" s="27" t="s">
        <v>62</v>
      </c>
      <c r="K9" s="27" t="s">
        <v>63</v>
      </c>
      <c r="L9" s="27" t="s">
        <v>64</v>
      </c>
      <c r="M9" s="27" t="s">
        <v>65</v>
      </c>
      <c r="N9" s="27" t="s">
        <v>66</v>
      </c>
      <c r="O9" s="58"/>
    </row>
    <row r="10" spans="1:15">
      <c r="A10" s="28" t="s">
        <v>67</v>
      </c>
      <c r="B10" s="29" t="s">
        <v>326</v>
      </c>
      <c r="C10" s="29" t="s">
        <v>327</v>
      </c>
      <c r="D10" s="30">
        <v>4.2</v>
      </c>
      <c r="E10" s="31">
        <f>J10*K10*L10</f>
        <v>58.971897599999998</v>
      </c>
      <c r="F10" s="28" t="s">
        <v>68</v>
      </c>
      <c r="G10" s="28"/>
      <c r="H10" s="32"/>
      <c r="I10" s="33" t="s">
        <v>130</v>
      </c>
      <c r="J10" s="34">
        <v>3.1063999999999998</v>
      </c>
      <c r="K10" s="31">
        <v>7.0000000000000001E-3</v>
      </c>
      <c r="L10" s="35">
        <v>2712</v>
      </c>
      <c r="M10" s="35">
        <v>1</v>
      </c>
      <c r="N10" s="30">
        <f>IF(J10="",D10*M10,D10*J10*K10*L10*M10)</f>
        <v>247.68196992000003</v>
      </c>
      <c r="O10" s="59"/>
    </row>
    <row r="11" spans="1:15">
      <c r="A11" s="28" t="s">
        <v>148</v>
      </c>
      <c r="B11" s="29" t="s">
        <v>145</v>
      </c>
      <c r="C11" s="29" t="s">
        <v>195</v>
      </c>
      <c r="D11" s="30">
        <v>2.25</v>
      </c>
      <c r="E11" s="31">
        <f t="shared" ref="E11:E12" si="0">J11*K11*L11</f>
        <v>2.4763493282527635</v>
      </c>
      <c r="F11" s="28" t="s">
        <v>68</v>
      </c>
      <c r="G11" s="28"/>
      <c r="H11" s="32"/>
      <c r="I11" s="33" t="s">
        <v>173</v>
      </c>
      <c r="J11" s="34">
        <v>1.7361000000000001E-4</v>
      </c>
      <c r="K11" s="31">
        <v>1.8817761767100001</v>
      </c>
      <c r="L11" s="35">
        <v>7580</v>
      </c>
      <c r="M11" s="186">
        <v>1</v>
      </c>
      <c r="N11" s="30">
        <f t="shared" ref="N11:N12" si="1">D11*E11*M11</f>
        <v>5.5717859885687178</v>
      </c>
      <c r="O11" s="59"/>
    </row>
    <row r="12" spans="1:15">
      <c r="A12" s="28" t="s">
        <v>151</v>
      </c>
      <c r="B12" s="106" t="s">
        <v>145</v>
      </c>
      <c r="C12" s="106" t="s">
        <v>201</v>
      </c>
      <c r="D12" s="30">
        <v>2.25</v>
      </c>
      <c r="E12" s="108">
        <f t="shared" si="0"/>
        <v>0.86786117648625605</v>
      </c>
      <c r="F12" s="109" t="s">
        <v>68</v>
      </c>
      <c r="G12" s="109"/>
      <c r="H12" s="109"/>
      <c r="I12" s="105" t="s">
        <v>147</v>
      </c>
      <c r="J12" s="34">
        <v>1.7361000000000001E-4</v>
      </c>
      <c r="K12" s="108">
        <v>0.65948711999999998</v>
      </c>
      <c r="L12" s="35">
        <v>7580</v>
      </c>
      <c r="M12" s="111">
        <v>2</v>
      </c>
      <c r="N12" s="107">
        <f t="shared" si="1"/>
        <v>3.9053752941881523</v>
      </c>
      <c r="O12" s="59">
        <f>N14*$N$2</f>
        <v>263.37262564275687</v>
      </c>
    </row>
    <row r="13" spans="1:15">
      <c r="A13" s="28" t="s">
        <v>153</v>
      </c>
      <c r="B13" s="106" t="s">
        <v>243</v>
      </c>
      <c r="C13" s="106" t="s">
        <v>244</v>
      </c>
      <c r="D13" s="30">
        <v>2</v>
      </c>
      <c r="E13" s="108">
        <f>SUM(J10:J12)</f>
        <v>3.1067472199999999</v>
      </c>
      <c r="F13" s="109" t="s">
        <v>69</v>
      </c>
      <c r="G13" s="109"/>
      <c r="H13" s="109"/>
      <c r="I13" s="105"/>
      <c r="J13" s="34"/>
      <c r="K13" s="108" t="s">
        <v>245</v>
      </c>
      <c r="L13" s="35"/>
      <c r="M13" s="111">
        <v>1</v>
      </c>
      <c r="N13" s="107">
        <f>D13*E13*M13</f>
        <v>6.2134944399999998</v>
      </c>
      <c r="O13" s="59"/>
    </row>
    <row r="14" spans="1:15">
      <c r="A14" s="37"/>
      <c r="B14" s="38"/>
      <c r="C14" s="15"/>
      <c r="D14" s="15"/>
      <c r="E14" s="15"/>
      <c r="F14" s="15"/>
      <c r="G14" s="15"/>
      <c r="H14" s="15"/>
      <c r="I14" s="15"/>
      <c r="J14" s="15"/>
      <c r="K14" s="15"/>
      <c r="L14" s="39"/>
      <c r="M14" s="40" t="s">
        <v>66</v>
      </c>
      <c r="N14" s="41">
        <f>SUM(N10:N13)</f>
        <v>263.37262564275687</v>
      </c>
      <c r="O14" s="24"/>
    </row>
    <row r="15" spans="1:15">
      <c r="A15" s="24"/>
      <c r="B15" s="24"/>
      <c r="C15" s="24"/>
      <c r="D15" s="24"/>
      <c r="E15" s="24"/>
      <c r="F15" s="24"/>
      <c r="G15" s="24"/>
      <c r="H15" s="24"/>
      <c r="I15" s="24"/>
      <c r="J15" s="85"/>
      <c r="K15" s="24"/>
      <c r="L15" s="24"/>
      <c r="M15" s="24"/>
      <c r="N15" s="24"/>
      <c r="O15" s="24"/>
    </row>
    <row r="16" spans="1:15">
      <c r="A16" s="42" t="s">
        <v>53</v>
      </c>
      <c r="B16" s="42" t="s">
        <v>70</v>
      </c>
      <c r="C16" s="42" t="s">
        <v>55</v>
      </c>
      <c r="D16" s="42" t="s">
        <v>56</v>
      </c>
      <c r="E16" s="42" t="s">
        <v>71</v>
      </c>
      <c r="F16" s="42" t="s">
        <v>65</v>
      </c>
      <c r="G16" s="42" t="s">
        <v>72</v>
      </c>
      <c r="H16" s="42" t="s">
        <v>73</v>
      </c>
      <c r="I16" s="42" t="s">
        <v>66</v>
      </c>
      <c r="J16" s="15"/>
      <c r="K16" s="24"/>
      <c r="L16" s="24"/>
      <c r="M16" s="24"/>
      <c r="N16" s="24"/>
      <c r="O16" s="24"/>
    </row>
    <row r="17" spans="1:15">
      <c r="A17" s="130" t="s">
        <v>74</v>
      </c>
      <c r="B17" s="131" t="s">
        <v>252</v>
      </c>
      <c r="C17" s="131" t="s">
        <v>332</v>
      </c>
      <c r="D17" s="132">
        <v>0.75</v>
      </c>
      <c r="E17" s="130" t="s">
        <v>254</v>
      </c>
      <c r="F17" s="130">
        <v>5</v>
      </c>
      <c r="G17" s="130"/>
      <c r="H17" s="130"/>
      <c r="I17" s="132">
        <f t="shared" ref="I17:I19" si="2">IF(H17="", D17*F17,D17*F17*H17)</f>
        <v>3.75</v>
      </c>
      <c r="J17" s="15"/>
      <c r="K17" s="24"/>
      <c r="L17" s="24"/>
      <c r="M17" s="24"/>
      <c r="N17" s="24"/>
      <c r="O17" s="24"/>
    </row>
    <row r="18" spans="1:15">
      <c r="A18" s="43" t="s">
        <v>78</v>
      </c>
      <c r="B18" s="44" t="s">
        <v>258</v>
      </c>
      <c r="C18" s="29" t="s">
        <v>330</v>
      </c>
      <c r="D18" s="45">
        <v>0.04</v>
      </c>
      <c r="E18" s="36" t="s">
        <v>89</v>
      </c>
      <c r="F18" s="46">
        <v>2.5</v>
      </c>
      <c r="G18" s="47" t="s">
        <v>331</v>
      </c>
      <c r="H18" s="36">
        <v>4</v>
      </c>
      <c r="I18" s="48">
        <f t="shared" si="2"/>
        <v>0.4</v>
      </c>
      <c r="J18" s="15"/>
      <c r="K18" s="24"/>
      <c r="L18" s="24"/>
      <c r="M18" s="24"/>
      <c r="N18" s="24"/>
      <c r="O18" s="24"/>
    </row>
    <row r="19" spans="1:15">
      <c r="A19" s="130" t="s">
        <v>80</v>
      </c>
      <c r="B19" s="44" t="s">
        <v>86</v>
      </c>
      <c r="C19" s="29" t="s">
        <v>343</v>
      </c>
      <c r="D19" s="45">
        <v>1.3</v>
      </c>
      <c r="E19" s="36" t="s">
        <v>88</v>
      </c>
      <c r="F19" s="46">
        <v>1</v>
      </c>
      <c r="G19" s="187"/>
      <c r="H19" s="188"/>
      <c r="I19" s="48">
        <f t="shared" si="2"/>
        <v>1.3</v>
      </c>
      <c r="J19" s="15"/>
      <c r="K19" s="24"/>
      <c r="L19" s="24"/>
      <c r="M19" s="24"/>
      <c r="N19" s="24"/>
      <c r="O19" s="24"/>
    </row>
    <row r="20" spans="1:15" s="91" customFormat="1">
      <c r="A20" s="43" t="s">
        <v>83</v>
      </c>
      <c r="B20" s="131" t="s">
        <v>289</v>
      </c>
      <c r="C20" s="151" t="s">
        <v>290</v>
      </c>
      <c r="D20" s="132">
        <v>0.75</v>
      </c>
      <c r="E20" s="130" t="s">
        <v>291</v>
      </c>
      <c r="F20" s="130">
        <v>2</v>
      </c>
      <c r="G20" s="149"/>
      <c r="H20" s="150"/>
      <c r="I20" s="132">
        <f t="shared" ref="I20:I23" si="3">IF(H20="", D20*F20,D20*F20*H20)</f>
        <v>1.5</v>
      </c>
      <c r="J20" s="104"/>
      <c r="L20" s="129"/>
      <c r="M20" s="129"/>
      <c r="N20" s="129"/>
    </row>
    <row r="21" spans="1:15" s="91" customFormat="1">
      <c r="A21" s="130" t="s">
        <v>85</v>
      </c>
      <c r="B21" s="131" t="s">
        <v>293</v>
      </c>
      <c r="C21" s="151" t="s">
        <v>333</v>
      </c>
      <c r="D21" s="132">
        <v>0.02</v>
      </c>
      <c r="E21" s="152" t="s">
        <v>295</v>
      </c>
      <c r="F21" s="46">
        <v>3</v>
      </c>
      <c r="G21" s="149" t="s">
        <v>276</v>
      </c>
      <c r="H21" s="150">
        <v>3</v>
      </c>
      <c r="I21" s="132">
        <f t="shared" si="3"/>
        <v>0.18</v>
      </c>
      <c r="J21" s="104"/>
      <c r="L21" s="129">
        <f>25^2*2</f>
        <v>1250</v>
      </c>
      <c r="M21" s="129"/>
      <c r="N21" s="129"/>
    </row>
    <row r="22" spans="1:15" s="91" customFormat="1">
      <c r="A22" s="43" t="s">
        <v>99</v>
      </c>
      <c r="B22" s="131" t="s">
        <v>297</v>
      </c>
      <c r="C22" s="131" t="s">
        <v>298</v>
      </c>
      <c r="D22" s="132">
        <v>0.13</v>
      </c>
      <c r="E22" s="130" t="s">
        <v>88</v>
      </c>
      <c r="F22" s="130">
        <v>3</v>
      </c>
      <c r="G22" s="149"/>
      <c r="H22" s="150"/>
      <c r="I22" s="132">
        <f t="shared" si="3"/>
        <v>0.39</v>
      </c>
      <c r="J22" s="104"/>
    </row>
    <row r="23" spans="1:15" s="91" customFormat="1">
      <c r="A23" s="130" t="s">
        <v>267</v>
      </c>
      <c r="B23" s="131" t="s">
        <v>300</v>
      </c>
      <c r="C23" s="131" t="s">
        <v>301</v>
      </c>
      <c r="D23" s="132">
        <v>0.15</v>
      </c>
      <c r="E23" s="130" t="s">
        <v>89</v>
      </c>
      <c r="F23" s="150">
        <v>125</v>
      </c>
      <c r="G23" s="149"/>
      <c r="H23" s="150"/>
      <c r="I23" s="132">
        <f t="shared" si="3"/>
        <v>18.75</v>
      </c>
      <c r="J23" s="104"/>
    </row>
    <row r="24" spans="1:15">
      <c r="A24" s="43" t="s">
        <v>270</v>
      </c>
      <c r="B24" s="44" t="s">
        <v>97</v>
      </c>
      <c r="C24" s="29" t="s">
        <v>328</v>
      </c>
      <c r="D24" s="45">
        <v>0.01</v>
      </c>
      <c r="E24" s="36" t="s">
        <v>89</v>
      </c>
      <c r="F24" s="60">
        <v>704.92</v>
      </c>
      <c r="G24" s="149" t="s">
        <v>329</v>
      </c>
      <c r="H24" s="150">
        <v>3</v>
      </c>
      <c r="I24" s="48">
        <f>IF($H24&lt;&gt;"",$D24*$F24*$H24,$D24*$F24)</f>
        <v>21.147600000000001</v>
      </c>
      <c r="J24" s="15"/>
      <c r="K24" s="24"/>
      <c r="L24" s="24"/>
      <c r="M24" s="24"/>
      <c r="N24" s="24"/>
      <c r="O24" s="24"/>
    </row>
    <row r="25" spans="1:15">
      <c r="A25" s="130" t="s">
        <v>273</v>
      </c>
      <c r="B25" s="44" t="s">
        <v>303</v>
      </c>
      <c r="C25" s="44" t="s">
        <v>304</v>
      </c>
      <c r="D25" s="132">
        <v>10</v>
      </c>
      <c r="E25" s="36" t="s">
        <v>69</v>
      </c>
      <c r="F25" s="46">
        <f>E13</f>
        <v>3.1067472199999999</v>
      </c>
      <c r="G25" s="47"/>
      <c r="H25" s="36"/>
      <c r="I25" s="48">
        <f>IF(H25&lt;&gt;"",D25*F25*H25,D25*F25)</f>
        <v>31.067472199999997</v>
      </c>
      <c r="J25" s="59">
        <f>I27*$N$2</f>
        <v>47.4176</v>
      </c>
      <c r="K25" s="24"/>
      <c r="L25" s="24"/>
      <c r="M25" s="24"/>
      <c r="N25" s="24"/>
      <c r="O25" s="24"/>
    </row>
    <row r="26" spans="1:15">
      <c r="A26" s="43" t="s">
        <v>277</v>
      </c>
      <c r="B26" s="154" t="s">
        <v>306</v>
      </c>
      <c r="C26" s="135" t="s">
        <v>307</v>
      </c>
      <c r="D26" s="155">
        <v>2</v>
      </c>
      <c r="E26" s="156" t="s">
        <v>69</v>
      </c>
      <c r="F26" s="157">
        <f>E13</f>
        <v>3.1067472199999999</v>
      </c>
      <c r="G26" s="158"/>
      <c r="H26" s="159"/>
      <c r="I26" s="132">
        <f>IF(H26="", D26*F26,D26*F26*H26)</f>
        <v>6.2134944399999998</v>
      </c>
      <c r="J26" s="15"/>
      <c r="K26" s="24"/>
      <c r="L26" s="24"/>
      <c r="M26" s="24"/>
      <c r="N26" s="24"/>
      <c r="O26" s="24"/>
    </row>
    <row r="27" spans="1:15">
      <c r="A27" s="15"/>
      <c r="B27" s="24"/>
      <c r="C27" s="15"/>
      <c r="D27" s="15"/>
      <c r="E27" s="15"/>
      <c r="F27" s="15"/>
      <c r="G27" s="39"/>
      <c r="H27" s="40" t="s">
        <v>66</v>
      </c>
      <c r="I27" s="41">
        <f>SUM(I17:I24)</f>
        <v>47.4176</v>
      </c>
      <c r="J27" s="42" t="s">
        <v>66</v>
      </c>
      <c r="K27" s="24"/>
      <c r="L27" s="24"/>
      <c r="M27" s="24"/>
      <c r="N27" s="24"/>
      <c r="O27" s="24"/>
    </row>
    <row r="28" spans="1:15">
      <c r="A28" s="24"/>
      <c r="B28" s="25"/>
      <c r="C28" s="25"/>
      <c r="D28" s="25"/>
      <c r="E28" s="25"/>
      <c r="F28" s="25"/>
      <c r="G28" s="25"/>
      <c r="H28" s="25"/>
      <c r="I28" s="25"/>
      <c r="J28" s="54"/>
      <c r="K28" s="24"/>
      <c r="L28" s="24"/>
      <c r="M28" s="24"/>
      <c r="N28" s="24"/>
      <c r="O28" s="24"/>
    </row>
    <row r="29" spans="1:15">
      <c r="A29" s="42" t="s">
        <v>53</v>
      </c>
      <c r="B29" s="27" t="s">
        <v>90</v>
      </c>
      <c r="C29" s="27" t="s">
        <v>55</v>
      </c>
      <c r="D29" s="27" t="s">
        <v>56</v>
      </c>
      <c r="E29" s="27" t="s">
        <v>57</v>
      </c>
      <c r="F29" s="27" t="s">
        <v>58</v>
      </c>
      <c r="G29" s="27" t="s">
        <v>59</v>
      </c>
      <c r="H29" s="27" t="s">
        <v>60</v>
      </c>
      <c r="I29" s="50" t="s">
        <v>65</v>
      </c>
      <c r="J29" s="41">
        <f>SUM(J28)</f>
        <v>0</v>
      </c>
      <c r="K29" s="59">
        <f>J29*$N$2</f>
        <v>0</v>
      </c>
      <c r="L29" s="24"/>
      <c r="M29" s="24"/>
      <c r="N29" s="24"/>
      <c r="O29" s="24"/>
    </row>
    <row r="30" spans="1:15">
      <c r="A30" s="51"/>
      <c r="B30" s="44"/>
      <c r="C30" s="44"/>
      <c r="D30" s="44"/>
      <c r="E30" s="44"/>
      <c r="F30" s="52"/>
      <c r="G30" s="44"/>
      <c r="H30" s="44"/>
      <c r="I30" s="53"/>
      <c r="J30" s="24"/>
      <c r="K30" s="24"/>
      <c r="L30" s="24"/>
      <c r="M30" s="24"/>
      <c r="N30" s="24"/>
      <c r="O30" s="24"/>
    </row>
    <row r="31" spans="1:15">
      <c r="A31" s="15"/>
      <c r="B31" s="15"/>
      <c r="C31" s="15"/>
      <c r="D31" s="15"/>
      <c r="E31" s="15"/>
      <c r="F31" s="15"/>
      <c r="G31" s="15"/>
      <c r="H31" s="15"/>
      <c r="I31" s="55" t="s">
        <v>66</v>
      </c>
      <c r="J31" s="24"/>
      <c r="K31" s="24"/>
      <c r="L31" s="24"/>
      <c r="M31" s="24"/>
      <c r="N31" s="24"/>
      <c r="O31" s="24"/>
    </row>
    <row r="32" spans="1:1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>
      <c r="A33" s="42" t="s">
        <v>53</v>
      </c>
      <c r="B33" s="42" t="s">
        <v>91</v>
      </c>
      <c r="C33" s="42" t="s">
        <v>55</v>
      </c>
      <c r="D33" s="42" t="s">
        <v>56</v>
      </c>
      <c r="E33" s="42" t="s">
        <v>71</v>
      </c>
      <c r="F33" s="42" t="s">
        <v>65</v>
      </c>
      <c r="G33" s="42" t="s">
        <v>92</v>
      </c>
      <c r="H33" s="42" t="s">
        <v>93</v>
      </c>
      <c r="I33" s="42" t="s">
        <v>66</v>
      </c>
      <c r="J33" s="59">
        <f>I35*$N$2</f>
        <v>0.66666666666666663</v>
      </c>
      <c r="K33" s="24"/>
      <c r="L33" s="24"/>
      <c r="M33" s="24"/>
      <c r="N33" s="24"/>
    </row>
    <row r="34" spans="1:14">
      <c r="A34" s="130" t="s">
        <v>94</v>
      </c>
      <c r="B34" s="174" t="s">
        <v>308</v>
      </c>
      <c r="C34" s="174" t="s">
        <v>309</v>
      </c>
      <c r="D34" s="132">
        <v>500</v>
      </c>
      <c r="E34" s="175" t="s">
        <v>310</v>
      </c>
      <c r="F34" s="130">
        <v>4</v>
      </c>
      <c r="G34" s="130">
        <v>3000</v>
      </c>
      <c r="H34" s="130">
        <v>1</v>
      </c>
      <c r="I34" s="176">
        <f>IFERROR(D34*F34/(G34*H34),0)</f>
        <v>0.66666666666666663</v>
      </c>
    </row>
    <row r="35" spans="1:14">
      <c r="A35" s="15"/>
      <c r="B35" s="15"/>
      <c r="C35" s="15"/>
      <c r="D35" s="15"/>
      <c r="E35" s="15"/>
      <c r="F35" s="15"/>
      <c r="G35" s="39"/>
      <c r="H35" s="40" t="s">
        <v>66</v>
      </c>
      <c r="I35" s="41">
        <f>SUM(I34)</f>
        <v>0.66666666666666663</v>
      </c>
    </row>
  </sheetData>
  <phoneticPr fontId="5" type="noConversion"/>
  <dataValidations count="2">
    <dataValidation type="custom" allowBlank="1" showErrorMessage="1" sqref="N11:N13" xr:uid="{A6B69BF9-F188-4D16-9188-A7ADF5CF63D1}">
      <formula1>M11*D11</formula1>
    </dataValidation>
    <dataValidation type="custom" allowBlank="1" showInputMessage="1" showErrorMessage="1" prompt=" - " sqref="I25" xr:uid="{2092FE7C-EA3C-4006-8F19-42FDBC79CDE5}">
      <formula1>IF(H25=0,1,H25)*D25*F25</formula1>
    </dataValidation>
  </dataValidations>
  <hyperlinks>
    <hyperlink ref="K3" location="BOM!A1" display="BOM" xr:uid="{1AC21703-E7E2-4657-9D48-0979DBAC1768}"/>
    <hyperlink ref="K4" location="'Cost Summary'!A1" display="Cost Summary" xr:uid="{719AF97E-0A67-4FDD-95E0-AF70DBB72D19}"/>
    <hyperlink ref="K5" location="'A_Steering Wheel'!A1" display="A_Steering Wheel" xr:uid="{BF532837-45A7-4A54-947D-089D6B7F250D}"/>
  </hyperlink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Matriz de Manufatura</vt:lpstr>
      <vt:lpstr>Planilha de Dados</vt:lpstr>
      <vt:lpstr>Decision Matrix</vt:lpstr>
      <vt:lpstr>Cost metais</vt:lpstr>
      <vt:lpstr>Compositos simulaçao</vt:lpstr>
      <vt:lpstr>monocoque aluminio simulaçao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LUCCA CARVALHO DIAS DE ABREU (EXTERNAL)</cp:lastModifiedBy>
  <dcterms:created xsi:type="dcterms:W3CDTF">2021-06-07T16:52:26Z</dcterms:created>
  <dcterms:modified xsi:type="dcterms:W3CDTF">2025-07-31T03:53:03Z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2025-07-18T14:06:49Z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cc27cb34-ba45-4f13-b977-f5a84e5ade48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